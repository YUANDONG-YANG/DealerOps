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edgel (Role A)" sheetId="1" state="visible" r:id="rId1"/>
    <sheet xmlns:r="http://schemas.openxmlformats.org/officeDocument/2006/relationships" name="Jackson (Role B)" sheetId="2" state="visible" r:id="rId2"/>
    <sheet xmlns:r="http://schemas.openxmlformats.org/officeDocument/2006/relationships" name="Logan (Role C)" sheetId="3" state="visible" r:id="rId3"/>
    <sheet xmlns:r="http://schemas.openxmlformats.org/officeDocument/2006/relationships" name="Yuandong (Lead)" sheetId="4" state="visible" r:id="rId4"/>
  </sheets>
  <definedNames>
    <definedName name="ColumnTitle1">" "</definedName>
  </definedNames>
</workbook>
</file>

<file path=xl/styles.xml><?xml version="1.0" encoding="utf-8"?>
<styleSheet xmlns="http://schemas.openxmlformats.org/spreadsheetml/2006/main">
  <numFmts count="4">
    <numFmt numFmtId="164" formatCode="mmm d, yyyy"/>
    <numFmt numFmtId="165" formatCode="0.0"/>
    <numFmt numFmtId="166" formatCode="_(&quot;$&quot;* #,##0.00_);_(&quot;$&quot;* \(#,##0.00\);_(&quot;$&quot;* &quot;-&quot;??_);_(@_)"/>
    <numFmt numFmtId="167" formatCode="&quot;Done&quot;;&quot;&quot;;&quot;&quot;"/>
  </numFmts>
  <fonts count="10">
    <font>
      <name val="Bookman Old Style"/>
      <color theme="1" tint="0.24995"/>
      <sz val="11"/>
    </font>
    <font>
      <name val="Bookman Old Style"/>
      <color theme="1"/>
      <sz val="11"/>
    </font>
    <font>
      <name val="Bookman Old Style"/>
      <color theme="1" tint="0.24995"/>
      <sz val="11"/>
    </font>
    <font>
      <name val="Bookman Old Style"/>
      <color theme="0"/>
      <sz val="11"/>
    </font>
    <font>
      <name val="Franklin Gothic Medium"/>
      <color theme="1" tint="0.24995"/>
      <sz val="11"/>
    </font>
    <font>
      <name val="Franklin Gothic Medium"/>
      <color theme="3"/>
      <sz val="11"/>
    </font>
    <font>
      <name val="Bookman Old Style"/>
      <b val="1"/>
      <color theme="1" tint="0.24995"/>
      <sz val="38"/>
    </font>
    <font>
      <name val="Bookman Old Style"/>
      <b val="1"/>
      <color theme="1" tint="0.24995"/>
      <sz val="11"/>
    </font>
    <font>
      <name val="Bookman Old Style"/>
      <b val="1"/>
      <color rgb="FF4C4C4C"/>
      <sz val="38"/>
    </font>
    <font>
      <name val="Franklin Gothic Medium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FFFFCC"/>
      </patternFill>
    </fill>
  </fills>
  <borders count="14">
    <border/>
    <border>
      <bottom style="thick">
        <color theme="1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double">
        <color rgb="FF8064A2"/>
      </bottom>
    </border>
    <border>
      <bottom style="thick">
        <color rgb="FF8064A2"/>
      </bottom>
    </border>
    <border>
      <left/>
      <top/>
    </border>
    <border>
      <top/>
    </border>
    <border>
      <right/>
      <top/>
    </border>
    <border>
      <left/>
    </border>
    <border>
      <right/>
    </border>
    <border>
      <left/>
      <bottom/>
    </border>
    <border>
      <bottom/>
    </border>
    <border>
      <right/>
      <bottom/>
    </border>
    <border>
      <left style="thin">
        <color rgb="FFFFFFFF"/>
      </left>
    </border>
  </borders>
  <cellStyleXfs count="12">
    <xf numFmtId="0" fontId="2" fillId="0" borderId="0" applyAlignment="1">
      <alignment vertical="center" wrapText="1"/>
    </xf>
    <xf numFmtId="9" fontId="1" fillId="0" borderId="0" applyAlignment="1">
      <alignment horizontal="right" vertical="center"/>
    </xf>
    <xf numFmtId="0" fontId="4" fillId="0" borderId="0" applyAlignment="1">
      <alignment horizontal="left"/>
    </xf>
    <xf numFmtId="43" fontId="2" fillId="0" borderId="0"/>
    <xf numFmtId="41" fontId="2" fillId="0" borderId="0"/>
    <xf numFmtId="166" fontId="2" fillId="0" borderId="0"/>
    <xf numFmtId="42" fontId="2" fillId="0" borderId="0"/>
    <xf numFmtId="0" fontId="2" fillId="2" borderId="2"/>
    <xf numFmtId="14" fontId="2" fillId="0" borderId="0" applyAlignment="1">
      <alignment horizontal="right" vertical="center"/>
    </xf>
    <xf numFmtId="167" fontId="3" fillId="0" borderId="0" applyAlignment="1">
      <alignment horizontal="center" vertical="center"/>
    </xf>
    <xf numFmtId="0" fontId="6" fillId="0" borderId="1"/>
    <xf numFmtId="0" fontId="5" fillId="0" borderId="0" applyAlignment="1">
      <alignment horizontal="right"/>
    </xf>
  </cellStyleXfs>
  <cellXfs count="58">
    <xf numFmtId="0" fontId="0" fillId="0" borderId="0" applyAlignment="1" pivotButton="0" quotePrefix="0" xfId="0">
      <alignment vertical="center" wrapText="1"/>
    </xf>
    <xf numFmtId="14" fontId="2" fillId="0" borderId="0" applyAlignment="1" pivotButton="0" quotePrefix="0" xfId="8">
      <alignment horizontal="right" vertical="center"/>
    </xf>
    <xf numFmtId="0" fontId="6" fillId="0" borderId="1" pivotButton="0" quotePrefix="0" xfId="10"/>
    <xf numFmtId="0" fontId="4" fillId="0" borderId="0" applyAlignment="1" pivotButton="0" quotePrefix="0" xfId="2">
      <alignment horizontal="left"/>
    </xf>
    <xf numFmtId="0" fontId="5" fillId="0" borderId="0" applyAlignment="1" pivotButton="0" quotePrefix="0" xfId="11">
      <alignment horizontal="right"/>
    </xf>
    <xf numFmtId="14" fontId="2" fillId="0" borderId="0" applyAlignment="1" pivotButton="0" quotePrefix="0" xfId="8">
      <alignment horizontal="right" vertical="center"/>
    </xf>
    <xf numFmtId="2" fontId="2" fillId="0" borderId="0" applyAlignment="1" pivotButton="0" quotePrefix="0" xfId="8">
      <alignment horizontal="right" vertical="center"/>
    </xf>
    <xf numFmtId="2" fontId="2" fillId="0" borderId="0" applyAlignment="1" pivotButton="0" quotePrefix="0" xfId="8">
      <alignment horizontal="right" vertical="center"/>
    </xf>
    <xf numFmtId="0" fontId="7" fillId="0" borderId="0" applyAlignment="1" pivotButton="0" quotePrefix="0" xfId="0">
      <alignment vertical="center" wrapText="1"/>
    </xf>
    <xf numFmtId="14" fontId="7" fillId="0" borderId="0" applyAlignment="1" pivotButton="0" quotePrefix="0" xfId="0">
      <alignment horizontal="right" vertical="center"/>
    </xf>
    <xf numFmtId="2" fontId="7" fillId="0" borderId="0" applyAlignment="1" pivotButton="0" quotePrefix="0" xfId="0">
      <alignment horizontal="right" vertical="center"/>
    </xf>
    <xf numFmtId="0" fontId="7" fillId="0" borderId="3" applyAlignment="1" pivotButton="0" quotePrefix="0" xfId="0">
      <alignment vertical="center" wrapText="1"/>
    </xf>
    <xf numFmtId="14" fontId="7" fillId="0" borderId="3" applyAlignment="1" pivotButton="0" quotePrefix="0" xfId="0">
      <alignment horizontal="right" vertical="center"/>
    </xf>
    <xf numFmtId="2" fontId="7" fillId="0" borderId="3" applyAlignment="1" pivotButton="0" quotePrefix="0" xfId="0">
      <alignment horizontal="right" vertical="center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5" fontId="7" fillId="0" borderId="3" applyAlignment="1" pivotButton="0" quotePrefix="0" xfId="0">
      <alignment horizontal="right" vertical="center"/>
    </xf>
    <xf numFmtId="0" fontId="0" fillId="0" borderId="0" applyAlignment="1" pivotButton="0" quotePrefix="0" xfId="0">
      <alignment vertical="center" wrapText="1"/>
    </xf>
    <xf numFmtId="14" fontId="0" fillId="0" borderId="0" applyAlignment="1" pivotButton="0" quotePrefix="0" xfId="0">
      <alignment horizontal="right" vertical="center"/>
    </xf>
    <xf numFmtId="2" fontId="0" fillId="0" borderId="0" applyAlignment="1" pivotButton="0" quotePrefix="0" xfId="0">
      <alignment horizontal="right" vertical="center"/>
    </xf>
    <xf numFmtId="164" fontId="0" fillId="0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center" wrapText="1"/>
    </xf>
    <xf numFmtId="165" fontId="7" fillId="0" borderId="3" applyAlignment="1" pivotButton="0" quotePrefix="0" xfId="0">
      <alignment vertical="center" wrapText="1"/>
    </xf>
    <xf numFmtId="0" fontId="4" fillId="0" borderId="0" applyAlignment="1" pivotButton="0" quotePrefix="0" xfId="0">
      <alignment horizontal="left" wrapText="1"/>
    </xf>
    <xf numFmtId="0" fontId="5" fillId="0" borderId="0" applyAlignment="1" pivotButton="0" quotePrefix="0" xfId="0">
      <alignment horizontal="right" wrapText="1"/>
    </xf>
    <xf numFmtId="0" fontId="8" fillId="0" borderId="1" pivotButton="0" quotePrefix="0" xfId="0"/>
    <xf numFmtId="0" fontId="8" fillId="0" borderId="4" pivotButton="0" quotePrefix="0" xfId="0"/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4" fontId="0" fillId="0" borderId="6" applyAlignment="1" pivotButton="0" quotePrefix="0" xfId="0">
      <alignment horizontal="right" vertical="center"/>
    </xf>
    <xf numFmtId="2" fontId="0" fillId="0" borderId="6" applyAlignment="1" pivotButton="0" quotePrefix="0" xfId="0">
      <alignment horizontal="right" vertical="center"/>
    </xf>
    <xf numFmtId="0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4" fontId="0" fillId="0" borderId="0" applyAlignment="1" pivotButton="0" quotePrefix="0" xfId="0">
      <alignment horizontal="right" vertical="center"/>
    </xf>
    <xf numFmtId="2" fontId="0" fillId="0" borderId="0" applyAlignment="1" pivotButton="0" quotePrefix="0" xfId="0">
      <alignment horizontal="right" vertical="center"/>
    </xf>
    <xf numFmtId="0" fontId="0" fillId="0" borderId="9" applyAlignment="1" pivotButton="0" quotePrefix="0" xfId="0">
      <alignment vertical="center" wrapText="1"/>
    </xf>
    <xf numFmtId="0" fontId="0" fillId="0" borderId="10" applyAlignment="1" pivotButton="0" quotePrefix="0" xfId="0">
      <alignment vertical="center" wrapText="1"/>
    </xf>
    <xf numFmtId="0" fontId="0" fillId="0" borderId="11" applyAlignment="1" pivotButton="0" quotePrefix="0" xfId="0">
      <alignment vertical="center" wrapText="1"/>
    </xf>
    <xf numFmtId="14" fontId="0" fillId="0" borderId="11" applyAlignment="1" pivotButton="0" quotePrefix="0" xfId="0">
      <alignment horizontal="right" vertical="center"/>
    </xf>
    <xf numFmtId="2" fontId="0" fillId="0" borderId="11" applyAlignment="1" pivotButton="0" quotePrefix="0" xfId="0">
      <alignment horizontal="right" vertical="center"/>
    </xf>
    <xf numFmtId="0" fontId="0" fillId="0" borderId="12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/>
    </xf>
    <xf numFmtId="0" fontId="9" fillId="0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right" wrapText="1"/>
    </xf>
    <xf numFmtId="0" fontId="9" fillId="0" borderId="13" applyAlignment="1" pivotButton="0" quotePrefix="0" xfId="0">
      <alignment horizontal="left" wrapText="1"/>
    </xf>
    <xf numFmtId="0" fontId="8" fillId="0" borderId="4" applyAlignment="1" pivotButton="0" quotePrefix="0" xfId="0">
      <alignment vertical="center"/>
    </xf>
    <xf numFmtId="0" fontId="9" fillId="0" borderId="0" applyAlignment="1" pivotButton="0" quotePrefix="0" xfId="0">
      <alignment vertical="center" wrapText="1"/>
    </xf>
    <xf numFmtId="0" fontId="9" fillId="0" borderId="13" applyAlignment="1" pivotButton="0" quotePrefix="0" xfId="0">
      <alignment vertical="center" wrapText="1"/>
    </xf>
    <xf numFmtId="0" fontId="0" fillId="0" borderId="0" pivotButton="0" quotePrefix="0" xfId="0"/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5" fontId="7" fillId="0" borderId="3" applyAlignment="1" pivotButton="0" quotePrefix="0" xfId="0">
      <alignment horizontal="right" vertical="center"/>
    </xf>
    <xf numFmtId="164" fontId="0" fillId="0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center" wrapText="1"/>
    </xf>
    <xf numFmtId="165" fontId="7" fillId="0" borderId="3" applyAlignment="1" pivotButton="0" quotePrefix="0" xfId="0">
      <alignment vertical="center" wrapText="1"/>
    </xf>
  </cellXfs>
  <cellStyles count="12">
    <cellStyle name="Normal" xfId="0"/>
    <cellStyle name="Percent" xfId="1"/>
    <cellStyle name="Heading 1" xfId="2"/>
    <cellStyle name="Comma" xfId="3"/>
    <cellStyle name="Comma [0]" xfId="4"/>
    <cellStyle name="Currency" xfId="5"/>
    <cellStyle name="Currency [0]" xfId="6"/>
    <cellStyle name="Note" xfId="7"/>
    <cellStyle name="Date" xfId="8"/>
    <cellStyle name="Done" xfId="9"/>
    <cellStyle name="Title" xfId="10"/>
    <cellStyle name="Heading 2" xfId="11"/>
  </cellStyles>
  <dxfs count="18">
    <dxf>
      <numFmt numFmtId="2" formatCode="0.00"/>
    </dxf>
    <dxf>
      <numFmt numFmtId="2" formatCode="0.00"/>
    </dxf>
    <dxf>
      <fill>
        <patternFill>
          <bgColor theme="0" tint="-0.04999"/>
        </patternFill>
      </fill>
    </dxf>
    <dxf>
      <numFmt numFmtId="2" formatCode="0.00"/>
    </dxf>
    <dxf>
      <numFmt numFmtId="2" formatCode="0.00"/>
    </dxf>
    <dxf>
      <fill>
        <patternFill>
          <bgColor theme="0" tint="-0.04999"/>
        </patternFill>
      </fill>
    </dxf>
    <dxf>
      <border>
        <bottom style="thin">
          <color theme="0" tint="-0.14994"/>
        </bottom>
      </border>
    </dxf>
    <dxf>
      <fill>
        <patternFill>
          <bgColor theme="6" tint="0.79998"/>
        </patternFill>
      </fill>
      <border>
        <bottom style="thin">
          <color theme="6" tint="0.39998"/>
        </bottom>
      </border>
    </dxf>
    <dxf>
      <fill>
        <patternFill>
          <bgColor theme="6" tint="0.79998"/>
        </patternFill>
      </fill>
      <border>
        <bottom style="thin">
          <color theme="6" tint="0.39998"/>
        </bottom>
      </border>
    </dxf>
    <dxf>
      <font>
        <b val="1"/>
        <color theme="1"/>
      </font>
    </dxf>
    <dxf>
      <font>
        <b val="1"/>
        <color theme="1"/>
      </font>
      <border>
        <bottom style="thin">
          <color theme="6" tint="0.39998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6"/>
        </top>
        <bottom style="thin">
          <color theme="6"/>
        </bottom>
      </border>
    </dxf>
    <dxf>
      <fill>
        <patternFill>
          <bgColor theme="0" tint="-0.15"/>
        </patternFill>
      </fill>
    </dxf>
    <dxf>
      <fill>
        <patternFill>
          <bgColor theme="0" tint="-0.15"/>
        </patternFill>
      </fill>
      <border>
        <left style="thin">
          <color theme="0" tint="-0.24998"/>
        </left>
        <right style="thin">
          <color theme="0" tint="-0.24998"/>
        </right>
      </border>
    </dxf>
    <dxf>
      <fill>
        <patternFill>
          <bgColor theme="0" tint="-0.15"/>
        </patternFill>
      </fill>
    </dxf>
    <dxf>
      <font>
        <b val="1"/>
        <color theme="1"/>
      </font>
      <fill>
        <patternFill>
          <bgColor theme="6" tint="0.79998"/>
        </patternFill>
      </fill>
      <border>
        <top style="thin">
          <color theme="6" tint="0.39998"/>
        </top>
      </border>
    </dxf>
    <dxf>
      <font>
        <b val="1"/>
        <color theme="1"/>
      </font>
      <fill>
        <patternFill>
          <bgColor theme="6" tint="0.79998"/>
        </patternFill>
      </fill>
      <border>
        <top style="thick">
          <color theme="7" tint="0.39995"/>
        </top>
        <bottom style="thin">
          <color theme="6" tint="0.39998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oDoList23" displayName="ToDoList23" ref="B2:K15" headerRowCount="1" totalsRowShown="0">
  <autoFilter ref="B2:K15"/>
  <tableColumns count="10">
    <tableColumn id="1" name="TASK"/>
    <tableColumn id="3" name="PRIORITY "/>
    <tableColumn id="4" name="STATUS "/>
    <tableColumn id="6" name="Estimated START DATE "/>
    <tableColumn id="7" name="Estimated DUE DATE "/>
    <tableColumn id="13" name=" Estimated Hours" dataDxfId="1"/>
    <tableColumn id="11" name="Actual Start Date"/>
    <tableColumn id="9" name="Actual Completion Date"/>
    <tableColumn id="14" name="Actual Hours" dataDxfId="0"/>
    <tableColumn id="10" name="NOTES"/>
  </tableColumns>
  <tableStyleInfo name="To-Do List" showFirstColumn="0" showLastColumn="0" showRowStripes="0" showColumnStripes="0"/>
</table>
</file>

<file path=xl/tables/table2.xml><?xml version="1.0" encoding="utf-8"?>
<table xmlns="http://schemas.openxmlformats.org/spreadsheetml/2006/main" id="2" name="ToDoList2" displayName="ToDoList2" ref="B2:K15" headerRowCount="1" totalsRowShown="0">
  <autoFilter ref="B2:K15"/>
  <tableColumns count="10">
    <tableColumn id="1" name="TASK"/>
    <tableColumn id="3" name="PRIORITY "/>
    <tableColumn id="4" name="STATUS "/>
    <tableColumn id="6" name="Estimated START DATE "/>
    <tableColumn id="7" name="Estimated DUE DATE "/>
    <tableColumn id="13" name=" Estimated Hours" dataDxfId="4"/>
    <tableColumn id="11" name="Actual Start Date"/>
    <tableColumn id="9" name="Actual Completion Date"/>
    <tableColumn id="14" name="Actual Hours" dataDxfId="3"/>
    <tableColumn id="10" name="NOTES"/>
  </tableColumns>
  <tableStyleInfo name="To-Do List" showFirstColumn="0" showLastColumn="0" showRowStripes="0" showColumnStripes="0"/>
</table>
</file>

<file path=xl/tables/table3.xml><?xml version="1.0" encoding="utf-8"?>
<table xmlns="http://schemas.openxmlformats.org/spreadsheetml/2006/main" id="3" name="ToDoListRoleC" displayName="ToDoListRoleC" ref="B2:K12" headerRowCount="1" totalsRowCount="0" totalsRowShown="0">
  <tableColumns count="10">
    <tableColumn id="1" name="TASK"/>
    <tableColumn id="2" name="PRIORITY "/>
    <tableColumn id="3" name="STATUS "/>
    <tableColumn id="4" name="Estimated START DATE "/>
    <tableColumn id="5" name="Estimated DUE DATE "/>
    <tableColumn id="6" name=" Estimated Hours"/>
    <tableColumn id="7" name="Actual Start Date"/>
    <tableColumn id="8" name="Actual Completion Date"/>
    <tableColumn id="9" name="Actual Hours"/>
    <tableColumn id="10" name="NOTES"/>
  </tableColumns>
  <tableStyleInfo name="To-Do List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To-Do List">
      <a:dk1>
        <a:sysClr val="windowText" lastClr="000000"/>
      </a:dk1>
      <a:lt1>
        <a:sysClr val="window" lastClr="FFFFFF"/>
      </a:lt1>
      <a:dk2>
        <a:srgbClr val="251C22"/>
      </a:dk2>
      <a:lt2>
        <a:srgbClr val="F0F8F6"/>
      </a:lt2>
      <a:accent1>
        <a:srgbClr val="947087"/>
      </a:accent1>
      <a:accent2>
        <a:srgbClr val="47A6B5"/>
      </a:accent2>
      <a:accent3>
        <a:srgbClr val="EAC235"/>
      </a:accent3>
      <a:accent4>
        <a:srgbClr val="6BC081"/>
      </a:accent4>
      <a:accent5>
        <a:srgbClr val="E9733D"/>
      </a:accent5>
      <a:accent6>
        <a:srgbClr val="FB933B"/>
      </a:accent6>
      <a:hlink>
        <a:srgbClr val="47A6B5"/>
      </a:hlink>
      <a:folHlink>
        <a:srgbClr val="947087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To-Do List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tabColor theme="4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ColWidth="8.88671875" defaultRowHeight="30"/>
  <cols>
    <col width="2.77734375" customWidth="1" style="51" min="1" max="1"/>
    <col width="38" customWidth="1" style="51" min="2" max="2"/>
    <col width="16" customWidth="1" style="51" min="3" max="3"/>
    <col width="18" customWidth="1" style="51" min="4" max="4"/>
    <col width="22" customWidth="1" style="51" min="5" max="5"/>
    <col width="22" customWidth="1" style="51" min="6" max="6"/>
    <col width="16" customWidth="1" style="51" min="7" max="7"/>
    <col width="19" customWidth="1" style="51" min="8" max="8"/>
    <col width="22" customWidth="1" style="51" min="9" max="9"/>
    <col width="15" customWidth="1" style="51" min="10" max="10"/>
    <col width="34" customWidth="1" style="51" min="11" max="11"/>
    <col width="29.6640625" customWidth="1" style="51" min="12" max="12"/>
    <col width="2.77734375" customWidth="1" style="51" min="13" max="13"/>
  </cols>
  <sheetData>
    <row r="1" ht="56" customHeight="1" s="51">
      <c r="B1" s="44" t="inlineStr">
        <is>
          <t>Project Task List - Bedgel Fadhil Ndam Woukouo (Role A: Dealer Web)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38" customHeight="1" s="51">
      <c r="B2" s="45" t="inlineStr">
        <is>
          <t>TASK</t>
        </is>
      </c>
      <c r="C2" s="45" t="inlineStr">
        <is>
          <t xml:space="preserve">PRIORITY </t>
        </is>
      </c>
      <c r="D2" s="45" t="inlineStr">
        <is>
          <t xml:space="preserve">STATUS </t>
        </is>
      </c>
      <c r="E2" s="46" t="inlineStr">
        <is>
          <t xml:space="preserve">Estimated START DATE </t>
        </is>
      </c>
      <c r="F2" s="46" t="inlineStr">
        <is>
          <t xml:space="preserve">Estimated DUE DATE </t>
        </is>
      </c>
      <c r="G2" s="46" t="inlineStr">
        <is>
          <t xml:space="preserve"> Estimated Hours</t>
        </is>
      </c>
      <c r="H2" s="46" t="inlineStr">
        <is>
          <t>Actual Start Date</t>
        </is>
      </c>
      <c r="I2" s="46" t="inlineStr">
        <is>
          <t>Actual Completion Date</t>
        </is>
      </c>
      <c r="J2" s="46" t="inlineStr">
        <is>
          <t>Actual Hours</t>
        </is>
      </c>
      <c r="K2" s="47" t="inlineStr">
        <is>
          <t>NOTES</t>
        </is>
      </c>
    </row>
    <row r="3" ht="46" customHeight="1" s="51">
      <c r="B3" s="33" t="inlineStr">
        <is>
          <t>Review the five web routes and the floating assistant panel against the approved scope and record deviations</t>
        </is>
      </c>
      <c r="C3" s="33" t="inlineStr">
        <is>
          <t>High</t>
        </is>
      </c>
      <c r="D3" s="33" t="inlineStr">
        <is>
          <t>Not Started</t>
        </is>
      </c>
      <c r="E3" s="52" t="n">
        <v>46307.5</v>
      </c>
      <c r="F3" s="52" t="n">
        <v>46307.5</v>
      </c>
      <c r="G3" s="53" t="n">
        <v>3</v>
      </c>
      <c r="H3" s="34" t="n"/>
      <c r="I3" s="34" t="n"/>
      <c r="J3" s="35" t="n"/>
      <c r="K3" s="33" t="inlineStr">
        <is>
          <t>Scope baseline; UI route coverage</t>
        </is>
      </c>
    </row>
    <row r="4" ht="46" customHeight="1" s="51">
      <c r="B4" s="33" t="inlineStr">
        <is>
          <t>Walk Admin, bound-user, and unbound-user sign-in and navigation scenarios</t>
        </is>
      </c>
      <c r="C4" s="33" t="inlineStr">
        <is>
          <t>High</t>
        </is>
      </c>
      <c r="D4" s="33" t="inlineStr">
        <is>
          <t>Not Started</t>
        </is>
      </c>
      <c r="E4" s="52" t="n">
        <v>46309.5</v>
      </c>
      <c r="F4" s="52" t="n">
        <v>46309.5</v>
      </c>
      <c r="G4" s="53" t="n">
        <v>3</v>
      </c>
      <c r="H4" s="34" t="n"/>
      <c r="I4" s="34" t="n"/>
      <c r="J4" s="35" t="n"/>
      <c r="K4" s="33" t="inlineStr">
        <is>
          <t>AUTH-01/03/08/11/12</t>
        </is>
      </c>
    </row>
    <row r="5" ht="46" customHeight="1" s="51">
      <c r="B5" s="33" t="inlineStr">
        <is>
          <t>Create, edit, search, and filter vehicles; record required-field, VIN, and enum outcomes</t>
        </is>
      </c>
      <c r="C5" s="33" t="inlineStr">
        <is>
          <t>High</t>
        </is>
      </c>
      <c r="D5" s="33" t="inlineStr">
        <is>
          <t>Not Started</t>
        </is>
      </c>
      <c r="E5" s="52" t="n">
        <v>46311.5</v>
      </c>
      <c r="F5" s="52" t="n">
        <v>46311.5</v>
      </c>
      <c r="G5" s="53" t="n">
        <v>3</v>
      </c>
      <c r="H5" s="34" t="n"/>
      <c r="I5" s="34" t="n"/>
      <c r="J5" s="35" t="n"/>
      <c r="K5" s="33" t="inlineStr">
        <is>
          <t>DMS-01/03/05</t>
        </is>
      </c>
    </row>
    <row r="6" ht="46" customHeight="1" s="51">
      <c r="B6" s="33" t="inlineStr">
        <is>
          <t>Sell a vehicle and record paired-field, sold-lock, and audit outcomes</t>
        </is>
      </c>
      <c r="C6" s="33" t="inlineStr">
        <is>
          <t>High</t>
        </is>
      </c>
      <c r="D6" s="33" t="inlineStr">
        <is>
          <t>Not Started</t>
        </is>
      </c>
      <c r="E6" s="52" t="n">
        <v>46314.5</v>
      </c>
      <c r="F6" s="52" t="n">
        <v>46314.5</v>
      </c>
      <c r="G6" s="53" t="n">
        <v>3</v>
      </c>
      <c r="H6" s="34" t="n"/>
      <c r="I6" s="34" t="n"/>
      <c r="J6" s="35" t="n"/>
      <c r="K6" s="33" t="inlineStr">
        <is>
          <t>DMS-08/10/11/14</t>
        </is>
      </c>
    </row>
    <row r="7" ht="46" customHeight="1" s="51">
      <c r="B7" s="33" t="inlineStr">
        <is>
          <t>Walk customer create, edit, link, and unlink workflows; record audit outcomes</t>
        </is>
      </c>
      <c r="C7" s="33" t="inlineStr">
        <is>
          <t>High</t>
        </is>
      </c>
      <c r="D7" s="33" t="inlineStr">
        <is>
          <t>Not Started</t>
        </is>
      </c>
      <c r="E7" s="52" t="n">
        <v>46316.5</v>
      </c>
      <c r="F7" s="52" t="n">
        <v>46316.5</v>
      </c>
      <c r="G7" s="53" t="n">
        <v>3</v>
      </c>
      <c r="H7" s="34" t="n"/>
      <c r="I7" s="34" t="n"/>
      <c r="J7" s="35" t="n"/>
      <c r="K7" s="33" t="inlineStr">
        <is>
          <t>CRM-01/02/05/06/08/11</t>
        </is>
      </c>
    </row>
    <row r="8" ht="46" customHeight="1" s="51">
      <c r="B8" s="33" t="inlineStr">
        <is>
          <t>Walk ad editor states and confirm Ready and export controls follow check status</t>
        </is>
      </c>
      <c r="C8" s="33" t="inlineStr">
        <is>
          <t>High</t>
        </is>
      </c>
      <c r="D8" s="33" t="inlineStr">
        <is>
          <t>Not Started</t>
        </is>
      </c>
      <c r="E8" s="52" t="n">
        <v>46318.5</v>
      </c>
      <c r="F8" s="52" t="n">
        <v>46318.5</v>
      </c>
      <c r="G8" s="53" t="n">
        <v>3</v>
      </c>
      <c r="H8" s="34" t="n"/>
      <c r="I8" s="34" t="n"/>
      <c r="J8" s="35" t="n"/>
      <c r="K8" s="33" t="inlineStr">
        <is>
          <t>AD-07/09/11/12</t>
        </is>
      </c>
    </row>
    <row r="9" ht="46" customHeight="1" s="51">
      <c r="B9" s="33" t="inlineStr">
        <is>
          <t>Walk assistant results and confirm cards do not display costs or customer contacts</t>
        </is>
      </c>
      <c r="C9" s="33" t="inlineStr">
        <is>
          <t>High</t>
        </is>
      </c>
      <c r="D9" s="33" t="inlineStr">
        <is>
          <t>Not Started</t>
        </is>
      </c>
      <c r="E9" s="52" t="n">
        <v>46321.5</v>
      </c>
      <c r="F9" s="52" t="n">
        <v>46321.5</v>
      </c>
      <c r="G9" s="53" t="n">
        <v>3</v>
      </c>
      <c r="H9" s="34" t="n"/>
      <c r="I9" s="34" t="n"/>
      <c r="J9" s="35" t="n"/>
      <c r="K9" s="33" t="inlineStr">
        <is>
          <t>AI-03/04</t>
        </is>
      </c>
    </row>
    <row r="10" ht="46" customHeight="1" s="51">
      <c r="B10" s="33" t="inlineStr">
        <is>
          <t>Inspect browser network calls and record any route that bypasses Gateway</t>
        </is>
      </c>
      <c r="C10" s="33" t="inlineStr">
        <is>
          <t>High</t>
        </is>
      </c>
      <c r="D10" s="33" t="inlineStr">
        <is>
          <t>Not Started</t>
        </is>
      </c>
      <c r="E10" s="52" t="n">
        <v>46323.5</v>
      </c>
      <c r="F10" s="52" t="n">
        <v>46323.5</v>
      </c>
      <c r="G10" s="53" t="n">
        <v>3</v>
      </c>
      <c r="H10" s="34" t="n"/>
      <c r="I10" s="34" t="n"/>
      <c r="J10" s="35" t="n"/>
      <c r="K10" s="33" t="inlineStr">
        <is>
          <t>ARC-03</t>
        </is>
      </c>
    </row>
    <row r="11" ht="46" customHeight="1" s="51">
      <c r="B11" s="33" t="inlineStr">
        <is>
          <t>Resolve agreed UI blockers and prepare demo steps and Sprint 1 evidence</t>
        </is>
      </c>
      <c r="C11" s="33" t="inlineStr">
        <is>
          <t>Normal</t>
        </is>
      </c>
      <c r="D11" s="33" t="inlineStr">
        <is>
          <t>Not Started</t>
        </is>
      </c>
      <c r="E11" s="52" t="n">
        <v>46325.5</v>
      </c>
      <c r="F11" s="52" t="n">
        <v>46325.5</v>
      </c>
      <c r="G11" s="53" t="n">
        <v>3</v>
      </c>
      <c r="H11" s="34" t="n"/>
      <c r="I11" s="34" t="n"/>
      <c r="J11" s="35" t="n"/>
      <c r="K11" s="33" t="inlineStr">
        <is>
          <t>Sprint report and showcase</t>
        </is>
      </c>
    </row>
    <row r="12" ht="25" customHeight="1" s="51">
      <c r="B12" s="11" t="inlineStr">
        <is>
          <t>Planned hours total</t>
        </is>
      </c>
      <c r="C12" s="11" t="n"/>
      <c r="D12" s="11" t="n"/>
      <c r="E12" s="12" t="n"/>
      <c r="F12" s="12" t="n"/>
      <c r="G12" s="54">
        <f>SUM(G3:G11)</f>
        <v/>
      </c>
      <c r="H12" s="12" t="n"/>
      <c r="I12" s="12" t="n"/>
      <c r="J12" s="13" t="n"/>
      <c r="K12" s="11" t="n"/>
    </row>
    <row r="13" ht="1" customHeight="1" s="51">
      <c r="A13" s="27" t="n"/>
      <c r="B13" s="28" t="n"/>
      <c r="C13" s="28" t="n"/>
      <c r="D13" s="28" t="n"/>
      <c r="E13" s="29" t="n"/>
      <c r="F13" s="29" t="n"/>
      <c r="G13" s="30" t="n"/>
      <c r="H13" s="29" t="n"/>
      <c r="I13" s="29" t="n"/>
      <c r="J13" s="30" t="n"/>
      <c r="K13" s="31" t="n"/>
    </row>
    <row r="14" ht="1" customHeight="1" s="51">
      <c r="A14" s="32" t="n"/>
      <c r="B14" s="33" t="n"/>
      <c r="C14" s="33" t="n"/>
      <c r="D14" s="33" t="n"/>
      <c r="E14" s="34" t="n"/>
      <c r="F14" s="34" t="n"/>
      <c r="G14" s="35" t="n"/>
      <c r="H14" s="34" t="n"/>
      <c r="I14" s="34" t="n"/>
      <c r="J14" s="35" t="n"/>
      <c r="K14" s="36" t="n"/>
    </row>
    <row r="15" ht="1" customHeight="1" s="51">
      <c r="A15" s="37" t="n"/>
      <c r="B15" s="38" t="n"/>
      <c r="C15" s="38" t="n"/>
      <c r="D15" s="38" t="n"/>
      <c r="E15" s="39" t="n"/>
      <c r="F15" s="39" t="n"/>
      <c r="G15" s="40" t="n"/>
      <c r="H15" s="39" t="n"/>
      <c r="I15" s="39" t="n"/>
      <c r="J15" s="40" t="n"/>
      <c r="K15" s="41" t="n"/>
    </row>
  </sheetData>
  <conditionalFormatting sqref="B3:K15">
    <cfRule type="expression" priority="2" dxfId="2">
      <formula>AND(#REF!=0,#REF!&lt;&gt;"")</formula>
    </cfRule>
  </conditionalFormatting>
  <dataValidations count="9">
    <dataValidation sqref="A1" showDropDown="0" showInputMessage="1" showErrorMessage="1" allowBlank="1" prompt="Create a To-do list with progress tracker in this worksheet"/>
    <dataValidation sqref="B1" showDropDown="0" showInputMessage="1" showErrorMessage="1" allowBlank="1" prompt="Worksheet title is in this cell"/>
    <dataValidation sqref="B2" showDropDown="0" showInputMessage="1" showErrorMessage="1" allowBlank="1" prompt="Enter Task in this column under this heading. Use heading filters to find specific entries"/>
    <dataValidation sqref="C2" showDropDown="0" showInputMessage="1" showErrorMessage="1" allowBlank="1" prompt="Select Priority in this column under this heading. Press ALT+DOWN ARROW to open the drop-down list, then ENTER to make selection"/>
    <dataValidation sqref="D2" showDropDown="0" showInputMessage="1" showErrorMessage="1" allowBlank="1" prompt="Select Status in this column under this heading.  Press ALT+DOWN ARROW to open the drop-down list, then ENTER to make selection"/>
    <dataValidation sqref="E2" showDropDown="0" showInputMessage="1" showErrorMessage="1" allowBlank="1" prompt="Enter Start Date in this column under this heading"/>
    <dataValidation sqref="I2:J2" showDropDown="0" showInputMessage="1" showErrorMessage="1" allowBlank="1" prompt="Icon indicator for task completion in this column under this heading is automatically updated as tasks complete"/>
    <dataValidation sqref="K2" showDropDown="0" showInputMessage="1" showErrorMessage="1" allowBlank="1" prompt="Enter Notes in this column under this heading"/>
    <dataValidation sqref="F2:H2 J2" showDropDown="0" showInputMessage="1" showErrorMessage="1" allowBlank="1" prompt="Enter Due Date in this column under this heading"/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theme="4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ColWidth="8.88671875" defaultRowHeight="30"/>
  <cols>
    <col width="2.77734375" customWidth="1" style="51" min="1" max="1"/>
    <col width="38" customWidth="1" style="51" min="2" max="2"/>
    <col width="16" customWidth="1" style="51" min="3" max="3"/>
    <col width="18" customWidth="1" style="51" min="4" max="4"/>
    <col width="22" customWidth="1" style="51" min="5" max="5"/>
    <col width="22" customWidth="1" style="51" min="6" max="6"/>
    <col width="16" customWidth="1" style="51" min="7" max="7"/>
    <col width="19" customWidth="1" style="51" min="8" max="8"/>
    <col width="22" customWidth="1" style="51" min="9" max="9"/>
    <col width="15" customWidth="1" style="51" min="10" max="10"/>
    <col width="34" customWidth="1" style="51" min="11" max="11"/>
    <col width="29.6640625" customWidth="1" style="51" min="12" max="12"/>
    <col width="2.77734375" customWidth="1" style="51" min="13" max="13"/>
  </cols>
  <sheetData>
    <row r="1" ht="56" customHeight="1" s="51">
      <c r="B1" s="44" t="inlineStr">
        <is>
          <t>Project Task List - Jackson Warga (Role B: AI and Platform)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38" customHeight="1" s="51">
      <c r="B2" s="45" t="inlineStr">
        <is>
          <t>TASK</t>
        </is>
      </c>
      <c r="C2" s="45" t="inlineStr">
        <is>
          <t xml:space="preserve">PRIORITY </t>
        </is>
      </c>
      <c r="D2" s="45" t="inlineStr">
        <is>
          <t xml:space="preserve">STATUS </t>
        </is>
      </c>
      <c r="E2" s="46" t="inlineStr">
        <is>
          <t xml:space="preserve">Estimated START DATE </t>
        </is>
      </c>
      <c r="F2" s="46" t="inlineStr">
        <is>
          <t xml:space="preserve">Estimated DUE DATE </t>
        </is>
      </c>
      <c r="G2" s="46" t="inlineStr">
        <is>
          <t xml:space="preserve"> Estimated Hours</t>
        </is>
      </c>
      <c r="H2" s="46" t="inlineStr">
        <is>
          <t>Actual Start Date</t>
        </is>
      </c>
      <c r="I2" s="46" t="inlineStr">
        <is>
          <t>Actual Completion Date</t>
        </is>
      </c>
      <c r="J2" s="46" t="inlineStr">
        <is>
          <t>Actual Hours</t>
        </is>
      </c>
      <c r="K2" s="47" t="inlineStr">
        <is>
          <t>NOTES</t>
        </is>
      </c>
    </row>
    <row r="3" ht="46" customHeight="1" s="51">
      <c r="B3" s="33" t="inlineStr">
        <is>
          <t>Review AI provider configuration and verify secret values stay outside source control</t>
        </is>
      </c>
      <c r="C3" s="33" t="inlineStr">
        <is>
          <t>High</t>
        </is>
      </c>
      <c r="D3" s="33" t="inlineStr">
        <is>
          <t>Not Started</t>
        </is>
      </c>
      <c r="E3" s="52" t="n">
        <v>46307.5</v>
      </c>
      <c r="F3" s="52" t="n">
        <v>46307.5</v>
      </c>
      <c r="G3" s="53" t="n">
        <v>3</v>
      </c>
      <c r="H3" s="34" t="n"/>
      <c r="I3" s="34" t="n"/>
      <c r="J3" s="35" t="n"/>
      <c r="K3" s="33" t="inlineStr">
        <is>
          <t>SEC-04; AI setup notes</t>
        </is>
      </c>
    </row>
    <row r="4" ht="46" customHeight="1" s="51">
      <c r="B4" s="33" t="inlineStr">
        <is>
          <t>Run a compliant ad through the configured real model and record the returned state</t>
        </is>
      </c>
      <c r="C4" s="33" t="inlineStr">
        <is>
          <t>High</t>
        </is>
      </c>
      <c r="D4" s="33" t="inlineStr">
        <is>
          <t>Not Started</t>
        </is>
      </c>
      <c r="E4" s="52" t="n">
        <v>46309.5</v>
      </c>
      <c r="F4" s="52" t="n">
        <v>46309.5</v>
      </c>
      <c r="G4" s="53" t="n">
        <v>3</v>
      </c>
      <c r="H4" s="34" t="n"/>
      <c r="I4" s="34" t="n"/>
      <c r="J4" s="35" t="n"/>
      <c r="K4" s="33" t="inlineStr">
        <is>
          <t>AI-01/02; AD-08</t>
        </is>
      </c>
    </row>
    <row r="5" ht="46" customHeight="1" s="51">
      <c r="B5" s="33" t="inlineStr">
        <is>
          <t>Run a hard-rule-miss ad and confirm AI is skipped and the result is Blocked</t>
        </is>
      </c>
      <c r="C5" s="33" t="inlineStr">
        <is>
          <t>High</t>
        </is>
      </c>
      <c r="D5" s="33" t="inlineStr">
        <is>
          <t>Not Started</t>
        </is>
      </c>
      <c r="E5" s="52" t="n">
        <v>46311.5</v>
      </c>
      <c r="F5" s="52" t="n">
        <v>46311.5</v>
      </c>
      <c r="G5" s="53" t="n">
        <v>3</v>
      </c>
      <c r="H5" s="34" t="n"/>
      <c r="I5" s="34" t="n"/>
      <c r="J5" s="35" t="n"/>
      <c r="K5" s="33" t="inlineStr">
        <is>
          <t>AD-03/07</t>
        </is>
      </c>
    </row>
    <row r="6" ht="46" customHeight="1" s="51">
      <c r="B6" s="33" t="inlineStr">
        <is>
          <t>Walk the configured AI failure path and confirm it never produces Passed</t>
        </is>
      </c>
      <c r="C6" s="33" t="inlineStr">
        <is>
          <t>High</t>
        </is>
      </c>
      <c r="D6" s="33" t="inlineStr">
        <is>
          <t>Not Started</t>
        </is>
      </c>
      <c r="E6" s="52" t="n">
        <v>46314.5</v>
      </c>
      <c r="F6" s="52" t="n">
        <v>46314.5</v>
      </c>
      <c r="G6" s="53" t="n">
        <v>3</v>
      </c>
      <c r="H6" s="34" t="n"/>
      <c r="I6" s="34" t="n"/>
      <c r="J6" s="35" t="n"/>
      <c r="K6" s="33" t="inlineStr">
        <is>
          <t>AI-02; AD-09</t>
        </is>
      </c>
    </row>
    <row r="7" ht="46" customHeight="1" s="51">
      <c r="B7" s="33" t="inlineStr">
        <is>
          <t>Change ad content after a pass and confirm the old check becomes Stale</t>
        </is>
      </c>
      <c r="C7" s="33" t="inlineStr">
        <is>
          <t>High</t>
        </is>
      </c>
      <c r="D7" s="33" t="inlineStr">
        <is>
          <t>Not Started</t>
        </is>
      </c>
      <c r="E7" s="52" t="n">
        <v>46316.5</v>
      </c>
      <c r="F7" s="52" t="n">
        <v>46316.5</v>
      </c>
      <c r="G7" s="53" t="n">
        <v>3</v>
      </c>
      <c r="H7" s="34" t="n"/>
      <c r="I7" s="34" t="n"/>
      <c r="J7" s="35" t="n"/>
      <c r="K7" s="33" t="inlineStr">
        <is>
          <t>AD-10/11/12</t>
        </is>
      </c>
    </row>
    <row r="8" ht="46" customHeight="1" s="51">
      <c r="B8" s="33" t="inlineStr">
        <is>
          <t>Ask dealership-scoped assistant questions and record card and fallback behavior</t>
        </is>
      </c>
      <c r="C8" s="33" t="inlineStr">
        <is>
          <t>High</t>
        </is>
      </c>
      <c r="D8" s="33" t="inlineStr">
        <is>
          <t>Not Started</t>
        </is>
      </c>
      <c r="E8" s="52" t="n">
        <v>46318.5</v>
      </c>
      <c r="F8" s="52" t="n">
        <v>46318.5</v>
      </c>
      <c r="G8" s="53" t="n">
        <v>3</v>
      </c>
      <c r="H8" s="34" t="n"/>
      <c r="I8" s="34" t="n"/>
      <c r="J8" s="35" t="n"/>
      <c r="K8" s="33" t="inlineStr">
        <is>
          <t>AI-03/04</t>
        </is>
      </c>
    </row>
    <row r="9" ht="46" customHeight="1" s="51">
      <c r="B9" s="33" t="inlineStr">
        <is>
          <t>Review ad and assistant context fields for purchase cost and customer contact data</t>
        </is>
      </c>
      <c r="C9" s="33" t="inlineStr">
        <is>
          <t>High</t>
        </is>
      </c>
      <c r="D9" s="33" t="inlineStr">
        <is>
          <t>Not Started</t>
        </is>
      </c>
      <c r="E9" s="52" t="n">
        <v>46321.5</v>
      </c>
      <c r="F9" s="52" t="n">
        <v>46321.5</v>
      </c>
      <c r="G9" s="53" t="n">
        <v>3</v>
      </c>
      <c r="H9" s="34" t="n"/>
      <c r="I9" s="34" t="n"/>
      <c r="J9" s="35" t="n"/>
      <c r="K9" s="33" t="inlineStr">
        <is>
          <t>AI-04; SEC-07</t>
        </is>
      </c>
    </row>
    <row r="10" ht="46" customHeight="1" s="51">
      <c r="B10" s="33" t="inlineStr">
        <is>
          <t>Update provider and local startup notes to match the current project configuration</t>
        </is>
      </c>
      <c r="C10" s="33" t="inlineStr">
        <is>
          <t>Normal</t>
        </is>
      </c>
      <c r="D10" s="33" t="inlineStr">
        <is>
          <t>Not Started</t>
        </is>
      </c>
      <c r="E10" s="52" t="n">
        <v>46323.5</v>
      </c>
      <c r="F10" s="52" t="n">
        <v>46323.5</v>
      </c>
      <c r="G10" s="53" t="n">
        <v>3</v>
      </c>
      <c r="H10" s="34" t="n"/>
      <c r="I10" s="34" t="n"/>
      <c r="J10" s="35" t="n"/>
      <c r="K10" s="33" t="inlineStr">
        <is>
          <t>README; ai-service notes</t>
        </is>
      </c>
    </row>
    <row r="11" ht="46" customHeight="1" s="51">
      <c r="B11" s="33" t="inlineStr">
        <is>
          <t>Maintain the separate Research and AI Logs and submit AI evidence for the sprint report</t>
        </is>
      </c>
      <c r="C11" s="33" t="inlineStr">
        <is>
          <t>Normal</t>
        </is>
      </c>
      <c r="D11" s="33" t="inlineStr">
        <is>
          <t>Not Started</t>
        </is>
      </c>
      <c r="E11" s="52" t="n">
        <v>46325.5</v>
      </c>
      <c r="F11" s="52" t="n">
        <v>46325.5</v>
      </c>
      <c r="G11" s="53" t="n">
        <v>3</v>
      </c>
      <c r="H11" s="34" t="n"/>
      <c r="I11" s="34" t="n"/>
      <c r="J11" s="35" t="n"/>
      <c r="K11" s="33" t="inlineStr">
        <is>
          <t>Course deliverables</t>
        </is>
      </c>
    </row>
    <row r="12" ht="25" customHeight="1" s="51">
      <c r="B12" s="11" t="inlineStr">
        <is>
          <t>Planned hours total</t>
        </is>
      </c>
      <c r="C12" s="11" t="n"/>
      <c r="D12" s="11" t="n"/>
      <c r="E12" s="12" t="n"/>
      <c r="F12" s="12" t="n"/>
      <c r="G12" s="54">
        <f>SUM(G3:G11)</f>
        <v/>
      </c>
      <c r="H12" s="12" t="n"/>
      <c r="I12" s="12" t="n"/>
      <c r="J12" s="13" t="n"/>
      <c r="K12" s="11" t="n"/>
    </row>
    <row r="13" ht="1" customHeight="1" s="51">
      <c r="A13" s="27" t="n"/>
      <c r="B13" s="28" t="n"/>
      <c r="C13" s="28" t="n"/>
      <c r="D13" s="28" t="n"/>
      <c r="E13" s="29" t="n"/>
      <c r="F13" s="29" t="n"/>
      <c r="G13" s="30" t="n"/>
      <c r="H13" s="29" t="n"/>
      <c r="I13" s="29" t="n"/>
      <c r="J13" s="30" t="n"/>
      <c r="K13" s="31" t="n"/>
    </row>
    <row r="14" ht="1" customHeight="1" s="51">
      <c r="A14" s="32" t="n"/>
      <c r="B14" s="33" t="n"/>
      <c r="C14" s="33" t="n"/>
      <c r="D14" s="33" t="n"/>
      <c r="E14" s="34" t="n"/>
      <c r="F14" s="34" t="n"/>
      <c r="G14" s="35" t="n"/>
      <c r="H14" s="34" t="n"/>
      <c r="I14" s="34" t="n"/>
      <c r="J14" s="35" t="n"/>
      <c r="K14" s="36" t="n"/>
    </row>
    <row r="15" ht="1" customHeight="1" s="51">
      <c r="A15" s="37" t="n"/>
      <c r="B15" s="38" t="n"/>
      <c r="C15" s="38" t="n"/>
      <c r="D15" s="38" t="n"/>
      <c r="E15" s="39" t="n"/>
      <c r="F15" s="39" t="n"/>
      <c r="G15" s="40" t="n"/>
      <c r="H15" s="39" t="n"/>
      <c r="I15" s="39" t="n"/>
      <c r="J15" s="40" t="n"/>
      <c r="K15" s="41" t="n"/>
    </row>
  </sheetData>
  <conditionalFormatting sqref="B3:K15">
    <cfRule type="expression" priority="11" dxfId="2">
      <formula>AND(#REF!=0,#REF!&lt;&gt;"")</formula>
    </cfRule>
  </conditionalFormatting>
  <dataValidations count="9">
    <dataValidation sqref="F2:H2 J2" showDropDown="0" showInputMessage="1" showErrorMessage="1" allowBlank="1" prompt="Enter Due Date in this column under this heading"/>
    <dataValidation sqref="K2" showDropDown="0" showInputMessage="1" showErrorMessage="1" allowBlank="1" prompt="Enter Notes in this column under this heading"/>
    <dataValidation sqref="I2:J2" showDropDown="0" showInputMessage="1" showErrorMessage="1" allowBlank="1" prompt="Icon indicator for task completion in this column under this heading is automatically updated as tasks complete"/>
    <dataValidation sqref="E2" showDropDown="0" showInputMessage="1" showErrorMessage="1" allowBlank="1" prompt="Enter Start Date in this column under this heading"/>
    <dataValidation sqref="D2" showDropDown="0" showInputMessage="1" showErrorMessage="1" allowBlank="1" prompt="Select Status in this column under this heading.  Press ALT+DOWN ARROW to open the drop-down list, then ENTER to make selection"/>
    <dataValidation sqref="C2" showDropDown="0" showInputMessage="1" showErrorMessage="1" allowBlank="1" prompt="Select Priority in this column under this heading. Press ALT+DOWN ARROW to open the drop-down list, then ENTER to make selection"/>
    <dataValidation sqref="B2" showDropDown="0" showInputMessage="1" showErrorMessage="1" allowBlank="1" prompt="Enter Task in this column under this heading. Use heading filters to find specific entries"/>
    <dataValidation sqref="B1" showDropDown="0" showInputMessage="1" showErrorMessage="1" allowBlank="1" prompt="Worksheet title is in this cell"/>
    <dataValidation sqref="A1" showDropDown="0" showInputMessage="1" showErrorMessage="1" allowBlank="1" prompt="Create a To-do list with progress tracker in this worksheet"/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38" customWidth="1" style="51" min="2" max="2"/>
    <col width="16" customWidth="1" style="51" min="3" max="3"/>
    <col width="18" customWidth="1" style="51" min="4" max="4"/>
    <col width="22" customWidth="1" style="51" min="5" max="5"/>
    <col width="22" customWidth="1" style="51" min="6" max="6"/>
    <col width="16" customWidth="1" style="51" min="7" max="7"/>
    <col width="19" customWidth="1" style="51" min="8" max="8"/>
    <col width="22" customWidth="1" style="51" min="9" max="9"/>
    <col width="15" customWidth="1" style="51" min="10" max="10"/>
    <col width="34" customWidth="1" style="51" min="11" max="11"/>
  </cols>
  <sheetData>
    <row r="1" ht="56" customHeight="1" s="51">
      <c r="A1" s="33" t="n"/>
      <c r="B1" s="48" t="inlineStr">
        <is>
          <t>Project Task List - Logan Jones (Role C: Gateway and Core)</t>
        </is>
      </c>
      <c r="C1" s="33" t="n"/>
      <c r="D1" s="33" t="n"/>
      <c r="E1" s="33" t="n"/>
      <c r="F1" s="33" t="n"/>
      <c r="G1" s="33" t="n"/>
      <c r="H1" s="33" t="n"/>
      <c r="I1" s="33" t="n"/>
      <c r="J1" s="33" t="n"/>
      <c r="K1" s="33" t="n"/>
    </row>
    <row r="2" ht="38" customHeight="1" s="51">
      <c r="A2" s="33" t="n"/>
      <c r="B2" s="49" t="inlineStr">
        <is>
          <t>TASK</t>
        </is>
      </c>
      <c r="C2" s="49" t="inlineStr">
        <is>
          <t xml:space="preserve">PRIORITY </t>
        </is>
      </c>
      <c r="D2" s="49" t="inlineStr">
        <is>
          <t xml:space="preserve">STATUS </t>
        </is>
      </c>
      <c r="E2" s="49" t="inlineStr">
        <is>
          <t xml:space="preserve">Estimated START DATE </t>
        </is>
      </c>
      <c r="F2" s="49" t="inlineStr">
        <is>
          <t xml:space="preserve">Estimated DUE DATE </t>
        </is>
      </c>
      <c r="G2" s="49" t="inlineStr">
        <is>
          <t xml:space="preserve"> Estimated Hours</t>
        </is>
      </c>
      <c r="H2" s="49" t="inlineStr">
        <is>
          <t>Actual Start Date</t>
        </is>
      </c>
      <c r="I2" s="49" t="inlineStr">
        <is>
          <t>Actual Completion Date</t>
        </is>
      </c>
      <c r="J2" s="49" t="inlineStr">
        <is>
          <t>Actual Hours</t>
        </is>
      </c>
      <c r="K2" s="50" t="inlineStr">
        <is>
          <t>NOTES</t>
        </is>
      </c>
    </row>
    <row r="3" ht="46" customHeight="1" s="51">
      <c r="A3" s="33" t="n"/>
      <c r="B3" s="33" t="inlineStr">
        <is>
          <t>Review login, JWT role, and membership flows and prepare manual walkthrough steps</t>
        </is>
      </c>
      <c r="C3" s="33" t="inlineStr">
        <is>
          <t>High</t>
        </is>
      </c>
      <c r="D3" s="33" t="inlineStr">
        <is>
          <t>Not Started</t>
        </is>
      </c>
      <c r="E3" s="55" t="n">
        <v>46307.5</v>
      </c>
      <c r="F3" s="55" t="n">
        <v>46307.5</v>
      </c>
      <c r="G3" s="56" t="n">
        <v>3</v>
      </c>
      <c r="H3" s="33" t="n"/>
      <c r="I3" s="33" t="n"/>
      <c r="J3" s="33" t="n"/>
      <c r="K3" s="33" t="inlineStr">
        <is>
          <t>AUTH-01/03/07/08/09/12</t>
        </is>
      </c>
    </row>
    <row r="4" ht="46" customHeight="1" s="51">
      <c r="A4" s="33" t="n"/>
      <c r="B4" s="33" t="inlineStr">
        <is>
          <t>Walk two-dealership access and record cross-dealer and Admin denial outcomes</t>
        </is>
      </c>
      <c r="C4" s="33" t="inlineStr">
        <is>
          <t>High</t>
        </is>
      </c>
      <c r="D4" s="33" t="inlineStr">
        <is>
          <t>Not Started</t>
        </is>
      </c>
      <c r="E4" s="55" t="n">
        <v>46309.5</v>
      </c>
      <c r="F4" s="55" t="n">
        <v>46309.5</v>
      </c>
      <c r="G4" s="56" t="n">
        <v>3</v>
      </c>
      <c r="H4" s="33" t="n"/>
      <c r="I4" s="33" t="n"/>
      <c r="J4" s="33" t="n"/>
      <c r="K4" s="33" t="inlineStr">
        <is>
          <t>AUTH-06/07/08/09</t>
        </is>
      </c>
    </row>
    <row r="5" ht="46" customHeight="1" s="51">
      <c r="A5" s="33" t="n"/>
      <c r="B5" s="33" t="inlineStr">
        <is>
          <t>Walk vehicle create, update, and sale rules and record observed outcomes</t>
        </is>
      </c>
      <c r="C5" s="33" t="inlineStr">
        <is>
          <t>High</t>
        </is>
      </c>
      <c r="D5" s="33" t="inlineStr">
        <is>
          <t>Not Started</t>
        </is>
      </c>
      <c r="E5" s="55" t="n">
        <v>46311.5</v>
      </c>
      <c r="F5" s="55" t="n">
        <v>46311.5</v>
      </c>
      <c r="G5" s="56" t="n">
        <v>3</v>
      </c>
      <c r="H5" s="33" t="n"/>
      <c r="I5" s="33" t="n"/>
      <c r="J5" s="33" t="n"/>
      <c r="K5" s="33" t="inlineStr">
        <is>
          <t>DMS-01/03/10/11</t>
        </is>
      </c>
    </row>
    <row r="6" ht="46" customHeight="1" s="51">
      <c r="A6" s="33" t="n"/>
      <c r="B6" s="33" t="inlineStr">
        <is>
          <t>Walk customer and vehicle-link workflows and record dealership-scope outcomes</t>
        </is>
      </c>
      <c r="C6" s="33" t="inlineStr">
        <is>
          <t>High</t>
        </is>
      </c>
      <c r="D6" s="33" t="inlineStr">
        <is>
          <t>Not Started</t>
        </is>
      </c>
      <c r="E6" s="55" t="n">
        <v>46314.5</v>
      </c>
      <c r="F6" s="55" t="n">
        <v>46314.5</v>
      </c>
      <c r="G6" s="56" t="n">
        <v>3</v>
      </c>
      <c r="H6" s="33" t="n"/>
      <c r="I6" s="33" t="n"/>
      <c r="J6" s="33" t="n"/>
      <c r="K6" s="33" t="inlineStr">
        <is>
          <t>CRM-05/06/08/09</t>
        </is>
      </c>
    </row>
    <row r="7" ht="46" customHeight="1" s="51">
      <c r="A7" s="33" t="n"/>
      <c r="B7" s="33" t="inlineStr">
        <is>
          <t>Review audit history for actor, action, time, and customer-data masking</t>
        </is>
      </c>
      <c r="C7" s="33" t="inlineStr">
        <is>
          <t>High</t>
        </is>
      </c>
      <c r="D7" s="33" t="inlineStr">
        <is>
          <t>Not Started</t>
        </is>
      </c>
      <c r="E7" s="55" t="n">
        <v>46316.5</v>
      </c>
      <c r="F7" s="55" t="n">
        <v>46316.5</v>
      </c>
      <c r="G7" s="56" t="n">
        <v>3</v>
      </c>
      <c r="H7" s="33" t="n"/>
      <c r="I7" s="33" t="n"/>
      <c r="J7" s="33" t="n"/>
      <c r="K7" s="33" t="inlineStr">
        <is>
          <t>AUD-01/02/03/05/06; AUD-04</t>
        </is>
      </c>
    </row>
    <row r="8" ht="46" customHeight="1" s="51">
      <c r="A8" s="33" t="n"/>
      <c r="B8" s="33" t="inlineStr">
        <is>
          <t>Walk public and internal routes and record Gateway bypass outcomes</t>
        </is>
      </c>
      <c r="C8" s="33" t="inlineStr">
        <is>
          <t>High</t>
        </is>
      </c>
      <c r="D8" s="33" t="inlineStr">
        <is>
          <t>Not Started</t>
        </is>
      </c>
      <c r="E8" s="55" t="n">
        <v>46318.5</v>
      </c>
      <c r="F8" s="55" t="n">
        <v>46318.5</v>
      </c>
      <c r="G8" s="56" t="n">
        <v>3</v>
      </c>
      <c r="H8" s="33" t="n"/>
      <c r="I8" s="33" t="n"/>
      <c r="J8" s="33" t="n"/>
      <c r="K8" s="33" t="inlineStr">
        <is>
          <t>ARC-03</t>
        </is>
      </c>
    </row>
    <row r="9" ht="46" customHeight="1" s="51">
      <c r="A9" s="33" t="n"/>
      <c r="B9" s="33" t="inlineStr">
        <is>
          <t>Compare Gateway API behavior and error shapes with the published OpenAPI contract</t>
        </is>
      </c>
      <c r="C9" s="33" t="inlineStr">
        <is>
          <t>Normal</t>
        </is>
      </c>
      <c r="D9" s="33" t="inlineStr">
        <is>
          <t>Not Started</t>
        </is>
      </c>
      <c r="E9" s="55" t="n">
        <v>46321.5</v>
      </c>
      <c r="F9" s="55" t="n">
        <v>46321.5</v>
      </c>
      <c r="G9" s="56" t="n">
        <v>3</v>
      </c>
      <c r="H9" s="33" t="n"/>
      <c r="I9" s="33" t="n"/>
      <c r="J9" s="33" t="n"/>
      <c r="K9" s="33" t="inlineStr">
        <is>
          <t>ARC-06; dealer-platform/openapi.yaml</t>
        </is>
      </c>
    </row>
    <row r="10" ht="46" customHeight="1" s="51">
      <c r="A10" s="33" t="n"/>
      <c r="B10" s="33" t="inlineStr">
        <is>
          <t>Review Terraform variables and deployment settings for secret handling</t>
        </is>
      </c>
      <c r="C10" s="33" t="inlineStr">
        <is>
          <t>High</t>
        </is>
      </c>
      <c r="D10" s="33" t="inlineStr">
        <is>
          <t>Not Started</t>
        </is>
      </c>
      <c r="E10" s="55" t="n">
        <v>46323.5</v>
      </c>
      <c r="F10" s="55" t="n">
        <v>46323.5</v>
      </c>
      <c r="G10" s="56" t="n">
        <v>3</v>
      </c>
      <c r="H10" s="33" t="n"/>
      <c r="I10" s="33" t="n"/>
      <c r="J10" s="33" t="n"/>
      <c r="K10" s="33" t="inlineStr">
        <is>
          <t>ARC-07; SEC-03/04</t>
        </is>
      </c>
    </row>
    <row r="11" ht="46" customHeight="1" s="51">
      <c r="A11" s="33" t="n"/>
      <c r="B11" s="33" t="inlineStr">
        <is>
          <t>Document manual acceptance evidence, blockers, and deployment readiness for review</t>
        </is>
      </c>
      <c r="C11" s="33" t="inlineStr">
        <is>
          <t>Normal</t>
        </is>
      </c>
      <c r="D11" s="33" t="inlineStr">
        <is>
          <t>Not Started</t>
        </is>
      </c>
      <c r="E11" s="55" t="n">
        <v>46325.5</v>
      </c>
      <c r="F11" s="55" t="n">
        <v>46325.5</v>
      </c>
      <c r="G11" s="56" t="n">
        <v>3</v>
      </c>
      <c r="H11" s="33" t="n"/>
      <c r="I11" s="33" t="n"/>
      <c r="J11" s="33" t="n"/>
      <c r="K11" s="33" t="inlineStr">
        <is>
          <t>Sprint report and showcase</t>
        </is>
      </c>
    </row>
    <row r="12" ht="25" customHeight="1" s="51">
      <c r="A12" s="33" t="n"/>
      <c r="B12" s="11" t="inlineStr">
        <is>
          <t>Planned hours total</t>
        </is>
      </c>
      <c r="C12" s="11" t="n"/>
      <c r="D12" s="11" t="n"/>
      <c r="E12" s="11" t="n"/>
      <c r="F12" s="11" t="n"/>
      <c r="G12" s="57">
        <f>SUM(G3:G11)</f>
        <v/>
      </c>
      <c r="H12" s="11" t="n"/>
      <c r="I12" s="11" t="n"/>
      <c r="J12" s="11" t="n"/>
      <c r="K12" s="11" t="n"/>
    </row>
    <row r="13" ht="1" customHeight="1" s="51">
      <c r="A13" s="27" t="n"/>
      <c r="B13" s="28" t="n"/>
      <c r="C13" s="28" t="n"/>
      <c r="D13" s="28" t="n"/>
      <c r="E13" s="28" t="n"/>
      <c r="F13" s="28" t="n"/>
      <c r="G13" s="28" t="n"/>
      <c r="H13" s="28" t="n"/>
      <c r="I13" s="28" t="n"/>
      <c r="J13" s="28" t="n"/>
      <c r="K13" s="31" t="n"/>
    </row>
    <row r="14" ht="1" customHeight="1" s="51">
      <c r="A14" s="32" t="n"/>
      <c r="B14" s="33" t="n"/>
      <c r="C14" s="33" t="n"/>
      <c r="D14" s="33" t="n"/>
      <c r="E14" s="33" t="n"/>
      <c r="F14" s="33" t="n"/>
      <c r="G14" s="33" t="n"/>
      <c r="H14" s="33" t="n"/>
      <c r="I14" s="33" t="n"/>
      <c r="J14" s="33" t="n"/>
      <c r="K14" s="36" t="n"/>
    </row>
    <row r="15" ht="1" customHeight="1" s="51">
      <c r="A15" s="37" t="n"/>
      <c r="B15" s="38" t="n"/>
      <c r="C15" s="38" t="n"/>
      <c r="D15" s="38" t="n"/>
      <c r="E15" s="38" t="n"/>
      <c r="F15" s="38" t="n"/>
      <c r="G15" s="38" t="n"/>
      <c r="H15" s="38" t="n"/>
      <c r="I15" s="38" t="n"/>
      <c r="J15" s="38" t="n"/>
      <c r="K15" s="41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38" customWidth="1" style="51" min="2" max="2"/>
    <col width="16" customWidth="1" style="51" min="3" max="3"/>
    <col width="18" customWidth="1" style="51" min="4" max="4"/>
    <col width="22" customWidth="1" style="51" min="5" max="5"/>
    <col width="22" customWidth="1" style="51" min="6" max="6"/>
    <col width="16" customWidth="1" style="51" min="7" max="7"/>
    <col width="19" customWidth="1" style="51" min="8" max="8"/>
    <col width="22" customWidth="1" style="51" min="9" max="9"/>
    <col width="15" customWidth="1" style="51" min="10" max="10"/>
    <col width="34" customWidth="1" style="51" min="11" max="11"/>
  </cols>
  <sheetData>
    <row r="1" ht="56" customHeight="1" s="51">
      <c r="A1" s="33" t="n"/>
      <c r="B1" s="48" t="inlineStr">
        <is>
          <t>Project Task List - Yuandong Yang / Robin (Full-Stack Lead)</t>
        </is>
      </c>
      <c r="C1" s="33" t="n"/>
      <c r="D1" s="33" t="n"/>
      <c r="E1" s="33" t="n"/>
      <c r="F1" s="33" t="n"/>
      <c r="G1" s="33" t="n"/>
      <c r="H1" s="33" t="n"/>
      <c r="I1" s="33" t="n"/>
      <c r="J1" s="33" t="n"/>
      <c r="K1" s="33" t="n"/>
    </row>
    <row r="2" ht="38" customHeight="1" s="51">
      <c r="A2" s="33" t="n"/>
      <c r="B2" s="49" t="inlineStr">
        <is>
          <t>TASK</t>
        </is>
      </c>
      <c r="C2" s="49" t="inlineStr">
        <is>
          <t xml:space="preserve">PRIORITY </t>
        </is>
      </c>
      <c r="D2" s="49" t="inlineStr">
        <is>
          <t xml:space="preserve">STATUS </t>
        </is>
      </c>
      <c r="E2" s="49" t="inlineStr">
        <is>
          <t xml:space="preserve">Estimated START DATE </t>
        </is>
      </c>
      <c r="F2" s="49" t="inlineStr">
        <is>
          <t xml:space="preserve">Estimated DUE DATE </t>
        </is>
      </c>
      <c r="G2" s="49" t="inlineStr">
        <is>
          <t xml:space="preserve"> Estimated Hours</t>
        </is>
      </c>
      <c r="H2" s="49" t="inlineStr">
        <is>
          <t>Actual Start Date</t>
        </is>
      </c>
      <c r="I2" s="49" t="inlineStr">
        <is>
          <t>Actual Completion Date</t>
        </is>
      </c>
      <c r="J2" s="49" t="inlineStr">
        <is>
          <t>Actual Hours</t>
        </is>
      </c>
      <c r="K2" s="50" t="inlineStr">
        <is>
          <t>NOTES</t>
        </is>
      </c>
    </row>
    <row r="3" ht="46" customHeight="1" s="51">
      <c r="A3" s="33" t="n"/>
      <c r="B3" s="33" t="inlineStr">
        <is>
          <t>Create Sprint 1 Jira cards with requirement IDs, owners, and evidence fields for all four members</t>
        </is>
      </c>
      <c r="C3" s="33" t="inlineStr">
        <is>
          <t>High</t>
        </is>
      </c>
      <c r="D3" s="33" t="inlineStr">
        <is>
          <t>Not Started</t>
        </is>
      </c>
      <c r="E3" s="55" t="n">
        <v>46307.5</v>
      </c>
      <c r="F3" s="55" t="n">
        <v>46307.5</v>
      </c>
      <c r="G3" s="56" t="n">
        <v>3</v>
      </c>
      <c r="H3" s="33" t="n"/>
      <c r="I3" s="33" t="n"/>
      <c r="J3" s="33" t="n"/>
      <c r="K3" s="33" t="inlineStr">
        <is>
          <t>AUTH/DMS/CRM/AD/AI IDs; Jira board</t>
        </is>
      </c>
    </row>
    <row r="4" ht="46" customHeight="1" s="51">
      <c r="A4" s="33" t="n"/>
      <c r="B4" s="33" t="inlineStr">
        <is>
          <t>Seed two-dealership demo data (admin, two dealers, staff, vehicles, customers, ads) and document the steps</t>
        </is>
      </c>
      <c r="C4" s="33" t="inlineStr">
        <is>
          <t>High</t>
        </is>
      </c>
      <c r="D4" s="33" t="inlineStr">
        <is>
          <t>Not Started</t>
        </is>
      </c>
      <c r="E4" s="55" t="n">
        <v>46309.5</v>
      </c>
      <c r="F4" s="55" t="n">
        <v>46309.5</v>
      </c>
      <c r="G4" s="56" t="n">
        <v>3</v>
      </c>
      <c r="H4" s="33" t="n"/>
      <c r="I4" s="33" t="n"/>
      <c r="J4" s="33" t="n"/>
      <c r="K4" s="33" t="inlineStr">
        <is>
          <t>AUTH-06/07; CL-1/CL-2</t>
        </is>
      </c>
    </row>
    <row r="5" ht="46" customHeight="1" s="51">
      <c r="A5" s="33" t="n"/>
      <c r="B5" s="33" t="inlineStr">
        <is>
          <t>Fix confirmed login, role, and membership defects reported by the walkthroughs</t>
        </is>
      </c>
      <c r="C5" s="33" t="inlineStr">
        <is>
          <t>High</t>
        </is>
      </c>
      <c r="D5" s="33" t="inlineStr">
        <is>
          <t>Not Started</t>
        </is>
      </c>
      <c r="E5" s="55" t="n">
        <v>46311.5</v>
      </c>
      <c r="F5" s="55" t="n">
        <v>46311.5</v>
      </c>
      <c r="G5" s="56" t="n">
        <v>3</v>
      </c>
      <c r="H5" s="33" t="n"/>
      <c r="I5" s="33" t="n"/>
      <c r="J5" s="33" t="n"/>
      <c r="K5" s="33" t="inlineStr">
        <is>
          <t>AUTH-01/03/08/09/12</t>
        </is>
      </c>
    </row>
    <row r="6" ht="46" customHeight="1" s="51">
      <c r="A6" s="33" t="n"/>
      <c r="B6" s="33" t="inlineStr">
        <is>
          <t>Fix confirmed DMS and CRM defects reported by the walkthroughs</t>
        </is>
      </c>
      <c r="C6" s="33" t="inlineStr">
        <is>
          <t>High</t>
        </is>
      </c>
      <c r="D6" s="33" t="inlineStr">
        <is>
          <t>Not Started</t>
        </is>
      </c>
      <c r="E6" s="55" t="n">
        <v>46314.5</v>
      </c>
      <c r="F6" s="55" t="n">
        <v>46314.5</v>
      </c>
      <c r="G6" s="56" t="n">
        <v>3</v>
      </c>
      <c r="H6" s="33" t="n"/>
      <c r="I6" s="33" t="n"/>
      <c r="J6" s="33" t="n"/>
      <c r="K6" s="33" t="inlineStr">
        <is>
          <t>DMS-01/03/10/11; CRM-05/06/08</t>
        </is>
      </c>
    </row>
    <row r="7" ht="46" customHeight="1" s="51">
      <c r="A7" s="33" t="n"/>
      <c r="B7" s="33" t="inlineStr">
        <is>
          <t>Fix confirmed ad-check and floating assistant defects reported by the walkthroughs</t>
        </is>
      </c>
      <c r="C7" s="33" t="inlineStr">
        <is>
          <t>High</t>
        </is>
      </c>
      <c r="D7" s="33" t="inlineStr">
        <is>
          <t>Not Started</t>
        </is>
      </c>
      <c r="E7" s="55" t="n">
        <v>46316.5</v>
      </c>
      <c r="F7" s="55" t="n">
        <v>46316.5</v>
      </c>
      <c r="G7" s="56" t="n">
        <v>3</v>
      </c>
      <c r="H7" s="33" t="n"/>
      <c r="I7" s="33" t="n"/>
      <c r="J7" s="33" t="n"/>
      <c r="K7" s="33" t="inlineStr">
        <is>
          <t>AD-07/09/11/12; AI-03/04</t>
        </is>
      </c>
    </row>
    <row r="8" ht="46" customHeight="1" s="51">
      <c r="A8" s="33" t="n"/>
      <c r="B8" s="33" t="inlineStr">
        <is>
          <t>Review and merge team pull requests against the requirement IDs they claim</t>
        </is>
      </c>
      <c r="C8" s="33" t="inlineStr">
        <is>
          <t>Normal</t>
        </is>
      </c>
      <c r="D8" s="33" t="inlineStr">
        <is>
          <t>Not Started</t>
        </is>
      </c>
      <c r="E8" s="55" t="n">
        <v>46318.5</v>
      </c>
      <c r="F8" s="55" t="n">
        <v>46318.5</v>
      </c>
      <c r="G8" s="56" t="n">
        <v>3</v>
      </c>
      <c r="H8" s="33" t="n"/>
      <c r="I8" s="33" t="n"/>
      <c r="J8" s="33" t="n"/>
      <c r="K8" s="33" t="inlineStr">
        <is>
          <t>Peer review rule; README</t>
        </is>
      </c>
    </row>
    <row r="9" ht="46" customHeight="1" s="51">
      <c r="A9" s="33" t="n"/>
      <c r="B9" s="33" t="inlineStr">
        <is>
          <t>Run Terraform validate and plan with the reviewed variables and record the apply/teardown checklist</t>
        </is>
      </c>
      <c r="C9" s="33" t="inlineStr">
        <is>
          <t>High</t>
        </is>
      </c>
      <c r="D9" s="33" t="inlineStr">
        <is>
          <t>Not Started</t>
        </is>
      </c>
      <c r="E9" s="55" t="n">
        <v>46321.5</v>
      </c>
      <c r="F9" s="55" t="n">
        <v>46321.5</v>
      </c>
      <c r="G9" s="56" t="n">
        <v>3</v>
      </c>
      <c r="H9" s="33" t="n"/>
      <c r="I9" s="33" t="n"/>
      <c r="J9" s="33" t="n"/>
      <c r="K9" s="33" t="inlineStr">
        <is>
          <t>ARC-07; SEC-03/04</t>
        </is>
      </c>
    </row>
    <row r="10" ht="46" customHeight="1" s="51">
      <c r="A10" s="33" t="n"/>
      <c r="B10" s="33" t="inlineStr">
        <is>
          <t>Confirm all five GitHub Actions workflows pass on main and record the run links</t>
        </is>
      </c>
      <c r="C10" s="33" t="inlineStr">
        <is>
          <t>Normal</t>
        </is>
      </c>
      <c r="D10" s="33" t="inlineStr">
        <is>
          <t>Not Started</t>
        </is>
      </c>
      <c r="E10" s="55" t="n">
        <v>46323.5</v>
      </c>
      <c r="F10" s="55" t="n">
        <v>46323.5</v>
      </c>
      <c r="G10" s="56" t="n">
        <v>3</v>
      </c>
      <c r="H10" s="33" t="n"/>
      <c r="I10" s="33" t="n"/>
      <c r="J10" s="33" t="n"/>
      <c r="K10" s="33" t="inlineStr">
        <is>
          <t>ARC-04; .github/workflows</t>
        </is>
      </c>
    </row>
    <row r="11" ht="46" customHeight="1" s="51">
      <c r="A11" s="33" t="n"/>
      <c r="B11" s="33" t="inlineStr">
        <is>
          <t>Consolidate Sprint 1 evidence, update the status report, and rehearse the showcase</t>
        </is>
      </c>
      <c r="C11" s="33" t="inlineStr">
        <is>
          <t>Normal</t>
        </is>
      </c>
      <c r="D11" s="33" t="inlineStr">
        <is>
          <t>Not Started</t>
        </is>
      </c>
      <c r="E11" s="55" t="n">
        <v>46325.5</v>
      </c>
      <c r="F11" s="55" t="n">
        <v>46325.5</v>
      </c>
      <c r="G11" s="56" t="n">
        <v>3</v>
      </c>
      <c r="H11" s="33" t="n"/>
      <c r="I11" s="33" t="n"/>
      <c r="J11" s="33" t="n"/>
      <c r="K11" s="33" t="inlineStr">
        <is>
          <t>Sprint report and showcase</t>
        </is>
      </c>
    </row>
    <row r="12" ht="25" customHeight="1" s="51">
      <c r="A12" s="33" t="n"/>
      <c r="B12" s="11" t="inlineStr">
        <is>
          <t>Planned hours total</t>
        </is>
      </c>
      <c r="C12" s="11" t="n"/>
      <c r="D12" s="11" t="n"/>
      <c r="E12" s="11" t="n"/>
      <c r="F12" s="11" t="n"/>
      <c r="G12" s="57">
        <f>SUM(G3:G11)</f>
        <v/>
      </c>
      <c r="H12" s="11" t="n"/>
      <c r="I12" s="11" t="n"/>
      <c r="J12" s="11" t="n"/>
      <c r="K12" s="11" t="n"/>
    </row>
    <row r="13" ht="1" customHeight="1" s="51">
      <c r="A13" s="27" t="n"/>
      <c r="B13" s="28" t="n"/>
      <c r="C13" s="28" t="n"/>
      <c r="D13" s="28" t="n"/>
      <c r="E13" s="28" t="n"/>
      <c r="F13" s="28" t="n"/>
      <c r="G13" s="28" t="n"/>
      <c r="H13" s="28" t="n"/>
      <c r="I13" s="28" t="n"/>
      <c r="J13" s="28" t="n"/>
      <c r="K13" s="31" t="n"/>
    </row>
    <row r="14" ht="1" customHeight="1" s="51">
      <c r="A14" s="32" t="n"/>
      <c r="B14" s="33" t="n"/>
      <c r="C14" s="33" t="n"/>
      <c r="D14" s="33" t="n"/>
      <c r="E14" s="33" t="n"/>
      <c r="F14" s="33" t="n"/>
      <c r="G14" s="33" t="n"/>
      <c r="H14" s="33" t="n"/>
      <c r="I14" s="33" t="n"/>
      <c r="J14" s="33" t="n"/>
      <c r="K14" s="36" t="n"/>
    </row>
    <row r="15" ht="1" customHeight="1" s="51">
      <c r="A15" s="37" t="n"/>
      <c r="B15" s="38" t="n"/>
      <c r="C15" s="38" t="n"/>
      <c r="D15" s="38" t="n"/>
      <c r="E15" s="38" t="n"/>
      <c r="F15" s="38" t="n"/>
      <c r="G15" s="38" t="n"/>
      <c r="H15" s="38" t="n"/>
      <c r="I15" s="38" t="n"/>
      <c r="J15" s="38" t="n"/>
      <c r="K15" s="4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2026-10-08T16:30:14Z</dcterms:created>
  <dcterms:modified xmlns:dcterms="http://purl.org/dc/terms/" xmlns:xsi="http://www.w3.org/2001/XMLSchema-instance" xsi:type="dcterms:W3CDTF">2026-10-08T16:30:14Z</dcterms:modified>
</cp:coreProperties>
</file>