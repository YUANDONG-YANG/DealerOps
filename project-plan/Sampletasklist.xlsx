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eafa3bb37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dgel (Role A)" sheetId="1" r:id="R292d0447310b4cb5"/>
    <x:sheet xmlns:r="http://schemas.openxmlformats.org/officeDocument/2006/relationships" name="Jackson (Role B)" sheetId="2" r:id="R3bf71bd15bc24038"/>
    <x:sheet xmlns:r="http://schemas.openxmlformats.org/officeDocument/2006/relationships" name="Logan (Role C)" sheetId="3" r:id="R48e58dcf243a441a"/>
    <x:sheet xmlns:r="http://schemas.openxmlformats.org/officeDocument/2006/relationships" name="Yuandong (Lead)" sheetId="4" r:id="R757f3b84764d45c7"/>
  </x:sheets>
  <x:definedNames>
    <x:definedName name="ColumnTitle1">" "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mmm d, yyyy"/>
    <x:numFmt numFmtId="165" formatCode="0.0"/>
    <x:numFmt numFmtId="166" formatCode="_(&quot;$&quot;* #,##0.00_);_(&quot;$&quot;* \(#,##0.00\);_(&quot;$&quot;* &quot;-&quot;??_);_(@_)"/>
    <x:numFmt numFmtId="167" formatCode="&quot;Done&quot;;&quot;&quot;;&quot;&quot;"/>
  </x:numFmts>
  <x:fonts count="15">
    <x:font>
      <x:sz val="11"/>
      <x:color theme="1" tint="0.24995"/>
      <x:name val="Bookman Old Style"/>
    </x:font>
    <x:font>
      <x:sz val="11"/>
      <x:color theme="1"/>
      <x:name val="Bookman Old Style"/>
    </x:font>
    <x:font>
      <x:sz val="11"/>
      <x:color theme="1" tint="0.24995"/>
      <x:name val="Bookman Old Style"/>
    </x:font>
    <x:font>
      <x:sz val="11"/>
      <x:color theme="0"/>
      <x:name val="Bookman Old Style"/>
    </x:font>
    <x:font>
      <x:sz val="11"/>
      <x:color theme="1" tint="0.24995"/>
      <x:name val="Franklin Gothic Medium"/>
    </x:font>
    <x:font>
      <x:sz val="11"/>
      <x:color theme="3"/>
      <x:name val="Franklin Gothic Medium"/>
    </x:font>
    <x:font>
      <x:b/>
      <x:sz val="38"/>
      <x:color theme="1" tint="0.24995"/>
      <x:name val="Bookman Old Style"/>
    </x:font>
    <x:font>
      <x:b/>
      <x:sz val="11"/>
      <x:color theme="1" tint="0.24995"/>
      <x:name val="Bookman Old Style"/>
    </x:font>
    <x:font>
      <x:b/>
      <x:sz val="38"/>
      <x:color rgb="FF4C4C4C"/>
      <x:name val="Bookman Old Style"/>
    </x:font>
    <x:font>
      <x:b/>
      <x:sz val="11"/>
      <x:color rgb="FFFFFFFF"/>
      <x:name val="Franklin Gothic Medium"/>
    </x:font>
    <x:font>
      <x:b/>
      <x:sz val="16"/>
      <x:color rgb="FF000000"/>
      <x:name val="Arial"/>
    </x:font>
    <x:font>
      <x:b/>
      <x:sz val="10"/>
      <x:color rgb="FFFFFFFF"/>
      <x:name val="Arial"/>
    </x:font>
    <x:font>
      <x:sz val="10"/>
      <x:color rgb="FF202020"/>
      <x:name val="Arial"/>
    </x:font>
    <x:font>
      <x:b/>
      <x:sz val="10"/>
      <x:color rgb="FF000000"/>
      <x:name val="Arial"/>
    </x:font>
    <x:font>
      <x:sz val="10"/>
      <x:color rgb="FF30303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FFFF"/>
      </x:patternFill>
    </x:fill>
    <x:fill>
      <x:patternFill patternType="solid">
        <x:fgColor rgb="FF70566E"/>
      </x:patternFill>
    </x:fill>
    <x:fill>
      <x:patternFill patternType="solid">
        <x:fgColor rgb="FFEEE9ED"/>
      </x:patternFill>
    </x:fill>
  </x:fills>
  <x:borders count="14">
    <x:border/>
    <x:border>
      <x:bottom style="thick">
        <x:color theme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double">
        <x:color rgb="FF8064A2"/>
      </x:bottom>
    </x:border>
    <x:border>
      <x:bottom style="thick">
        <x:color rgb="FF8064A2"/>
      </x:bottom>
    </x:border>
    <x:border/>
    <x:border/>
    <x:border/>
    <x:border/>
    <x:border/>
    <x:border/>
    <x:border/>
    <x:border/>
    <x:border>
      <x:left style="thin">
        <x:color rgb="FFFFFFFF"/>
      </x:left>
    </x:border>
  </x:borders>
  <x:cellStyleXfs count="12">
    <x:xf numFmtId="0" fontId="2" fillId="0" borderId="0" applyAlignment="1">
      <x:alignment vertical="center" wrapText="1"/>
    </x:xf>
    <x:xf numFmtId="9" fontId="1" fillId="0" borderId="0" applyAlignment="1">
      <x:alignment horizontal="right" vertical="center"/>
    </x:xf>
    <x:xf numFmtId="0" fontId="4" fillId="0" borderId="0" applyAlignment="1">
      <x:alignment horizontal="left"/>
    </x:xf>
    <x:xf numFmtId="43" fontId="2" fillId="0" borderId="0"/>
    <x:xf numFmtId="41" fontId="2" fillId="0" borderId="0"/>
    <x:xf numFmtId="166" fontId="2" fillId="0" borderId="0"/>
    <x:xf numFmtId="42" fontId="2" fillId="0" borderId="0"/>
    <x:xf numFmtId="0" fontId="2" fillId="2" borderId="2"/>
    <x:xf numFmtId="14" fontId="2" fillId="0" borderId="0" applyAlignment="1">
      <x:alignment horizontal="right" vertical="center"/>
    </x:xf>
    <x:xf numFmtId="167" fontId="3" fillId="0" borderId="0" applyAlignment="1">
      <x:alignment horizontal="center" vertical="center"/>
    </x:xf>
    <x:xf numFmtId="0" fontId="6" fillId="0" borderId="1"/>
    <x:xf numFmtId="0" fontId="5" fillId="0" borderId="0" applyAlignment="1">
      <x:alignment horizontal="right"/>
    </x:xf>
  </x:cellStyleXfs>
  <x:cellXfs count="124">
    <x:xf numFmtId="0" fontId="0" fillId="0" borderId="0" xfId="0" applyAlignment="1">
      <x:alignment vertical="center" wrapText="1"/>
    </x:xf>
    <x:xf numFmtId="14" fontId="2" fillId="0" borderId="0" xfId="8" applyAlignment="1">
      <x:alignment horizontal="right" vertical="center"/>
    </x:xf>
    <x:xf numFmtId="0" fontId="6" fillId="0" borderId="1" xfId="10"/>
    <x:xf numFmtId="0" fontId="4" fillId="0" borderId="0" xfId="2" applyAlignment="1">
      <x:alignment horizontal="left"/>
    </x:xf>
    <x:xf numFmtId="0" fontId="5" fillId="0" borderId="0" xfId="11" applyAlignment="1">
      <x:alignment horizontal="right"/>
    </x:xf>
    <x:xf numFmtId="14" fontId="2" fillId="0" borderId="0" xfId="8" applyAlignment="1">
      <x:alignment horizontal="right" vertical="center"/>
    </x:xf>
    <x:xf numFmtId="2" fontId="2" fillId="0" borderId="0" xfId="8" applyAlignment="1">
      <x:alignment horizontal="right" vertical="center"/>
    </x:xf>
    <x:xf numFmtId="2" fontId="2" fillId="0" borderId="0" xfId="8" applyAlignment="1">
      <x:alignment horizontal="right" vertical="center"/>
    </x:xf>
    <x:xf numFmtId="0" fontId="7" fillId="0" borderId="0" xfId="0" applyAlignment="1">
      <x:alignment vertical="center" wrapText="1"/>
    </x:xf>
    <x:xf numFmtId="14" fontId="7" fillId="0" borderId="0" xfId="0" applyAlignment="1">
      <x:alignment horizontal="right" vertical="center"/>
    </x:xf>
    <x:xf numFmtId="2" fontId="7" fillId="0" borderId="0" xfId="0" applyAlignment="1">
      <x:alignment horizontal="right" vertical="center"/>
    </x:xf>
    <x:xf numFmtId="0" fontId="7" fillId="0" borderId="3" xfId="0" applyAlignment="1">
      <x:alignment vertical="center" wrapText="1"/>
    </x:xf>
    <x:xf numFmtId="14" fontId="7" fillId="0" borderId="3" xfId="0" applyAlignment="1">
      <x:alignment horizontal="right" vertical="center"/>
    </x:xf>
    <x:xf numFmtId="2" fontId="7" fillId="0" borderId="3" xfId="0" applyAlignment="1">
      <x:alignment horizontal="right" vertical="center"/>
    </x:xf>
    <x:xf numFmtId="164" fontId="0" fillId="0" borderId="0" xfId="0" applyAlignment="1">
      <x:alignment horizontal="right" vertical="center"/>
    </x:xf>
    <x:xf numFmtId="165" fontId="0" fillId="0" borderId="0" xfId="0" applyAlignment="1">
      <x:alignment horizontal="right" vertical="center"/>
    </x:xf>
    <x:xf numFmtId="165" fontId="7" fillId="0" borderId="3" xfId="0" applyAlignment="1">
      <x:alignment horizontal="right" vertical="center"/>
    </x:xf>
    <x:xf numFmtId="0" fontId="0" fillId="0" borderId="0" xfId="0" applyAlignment="1">
      <x:alignment vertical="center" wrapText="1"/>
    </x:xf>
    <x:xf numFmtId="14" fontId="0" fillId="0" borderId="0" xfId="0" applyAlignment="1">
      <x:alignment horizontal="right" vertical="center"/>
    </x:xf>
    <x:xf numFmtId="2" fontId="0" fillId="0" borderId="0" xfId="0" applyAlignment="1">
      <x:alignment horizontal="right" vertical="center"/>
    </x:xf>
    <x:xf numFmtId="164" fontId="0" fillId="0" borderId="0" xfId="0" applyAlignment="1">
      <x:alignment vertical="center" wrapText="1"/>
    </x:xf>
    <x:xf numFmtId="165" fontId="0" fillId="0" borderId="0" xfId="0" applyAlignment="1">
      <x:alignment vertical="center" wrapText="1"/>
    </x:xf>
    <x:xf numFmtId="165" fontId="7" fillId="0" borderId="3" xfId="0" applyAlignment="1">
      <x:alignment vertical="center" wrapText="1"/>
    </x:xf>
    <x:xf numFmtId="0" fontId="4" fillId="0" borderId="0" xfId="0" applyAlignment="1">
      <x:alignment horizontal="left" wrapText="1"/>
    </x:xf>
    <x:xf numFmtId="0" fontId="5" fillId="0" borderId="0" xfId="0" applyAlignment="1">
      <x:alignment horizontal="right" wrapText="1"/>
    </x:xf>
    <x:xf numFmtId="0" fontId="8" fillId="0" borderId="1" xfId="0"/>
    <x:xf numFmtId="0" fontId="8" fillId="0" borderId="4" xfId="0"/>
    <x:xf numFmtId="0" fontId="0" fillId="0" borderId="5" xfId="0" applyAlignment="1">
      <x:alignment vertical="center" wrapText="1"/>
    </x:xf>
    <x:xf numFmtId="0" fontId="0" fillId="0" borderId="6" xfId="0" applyAlignment="1">
      <x:alignment vertical="center" wrapText="1"/>
    </x:xf>
    <x:xf numFmtId="14" fontId="0" fillId="0" borderId="6" xfId="0" applyAlignment="1">
      <x:alignment horizontal="right" vertical="center"/>
    </x:xf>
    <x:xf numFmtId="2" fontId="0" fillId="0" borderId="6" xfId="0" applyAlignment="1">
      <x:alignment horizontal="right" vertical="center"/>
    </x:xf>
    <x:xf numFmtId="0" fontId="0" fillId="0" borderId="7" xfId="0" applyAlignment="1">
      <x:alignment vertical="center" wrapText="1"/>
    </x:xf>
    <x:xf numFmtId="0" fontId="0" fillId="0" borderId="8" xfId="0" applyAlignment="1">
      <x:alignment vertical="center" wrapText="1"/>
    </x:xf>
    <x:xf numFmtId="0" fontId="0" fillId="0" borderId="0" xfId="0" applyAlignment="1">
      <x:alignment vertical="center" wrapText="1"/>
    </x:xf>
    <x:xf numFmtId="14" fontId="0" fillId="0" borderId="0" xfId="0" applyAlignment="1">
      <x:alignment horizontal="right" vertical="center"/>
    </x:xf>
    <x:xf numFmtId="2" fontId="0" fillId="0" borderId="0" xfId="0" applyAlignment="1">
      <x:alignment horizontal="right" vertical="center"/>
    </x:xf>
    <x:xf numFmtId="0" fontId="0" fillId="0" borderId="9" xfId="0" applyAlignment="1">
      <x:alignment vertical="center" wrapText="1"/>
    </x:xf>
    <x:xf numFmtId="0" fontId="0" fillId="0" borderId="10" xfId="0" applyAlignment="1">
      <x:alignment vertical="center" wrapText="1"/>
    </x:xf>
    <x:xf numFmtId="0" fontId="0" fillId="0" borderId="11" xfId="0" applyAlignment="1">
      <x:alignment vertical="center" wrapText="1"/>
    </x:xf>
    <x:xf numFmtId="14" fontId="0" fillId="0" borderId="11" xfId="0" applyAlignment="1">
      <x:alignment horizontal="right" vertical="center"/>
    </x:xf>
    <x:xf numFmtId="2" fontId="0" fillId="0" borderId="11" xfId="0" applyAlignment="1">
      <x:alignment horizontal="right" vertical="center"/>
    </x:xf>
    <x:xf numFmtId="0" fontId="0" fillId="0" borderId="12" xfId="0" applyAlignment="1">
      <x:alignment vertical="center" wrapText="1"/>
    </x:xf>
    <x:xf numFmtId="0" fontId="8" fillId="0" borderId="0" xfId="0" applyAlignment="1">
      <x:alignment vertical="center" wrapText="1"/>
    </x:xf>
    <x:xf numFmtId="0" fontId="8" fillId="0" borderId="4" xfId="0" applyAlignment="1">
      <x:alignment vertical="center" wrapText="1"/>
    </x:xf>
    <x:xf numFmtId="0" fontId="8" fillId="0" borderId="4" xfId="0" applyAlignment="1"/>
    <x:xf numFmtId="0" fontId="9" fillId="0" borderId="0" xfId="0" applyAlignment="1">
      <x:alignment horizontal="left" wrapText="1"/>
    </x:xf>
    <x:xf numFmtId="0" fontId="9" fillId="0" borderId="0" xfId="0" applyAlignment="1">
      <x:alignment horizontal="right" wrapText="1"/>
    </x:xf>
    <x:xf numFmtId="0" fontId="9" fillId="0" borderId="13" xfId="0" applyAlignment="1">
      <x:alignment horizontal="left" wrapText="1"/>
    </x:xf>
    <x:xf numFmtId="0" fontId="8" fillId="0" borderId="4" xfId="0" applyAlignment="1">
      <x:alignment vertical="center"/>
    </x:xf>
    <x:xf numFmtId="0" fontId="9" fillId="0" borderId="0" xfId="0" applyAlignment="1">
      <x:alignment vertical="center" wrapText="1"/>
    </x:xf>
    <x:xf numFmtId="0" fontId="9" fillId="0" borderId="13" xfId="0" applyAlignment="1">
      <x:alignment vertical="center" wrapText="1"/>
    </x:xf>
    <x:xf numFmtId="0" fontId="0" fillId="0" borderId="0" xfId="0"/>
    <x:xf numFmtId="164" fontId="0" fillId="0" borderId="0" xfId="0" applyAlignment="1">
      <x:alignment horizontal="right" vertical="center"/>
    </x:xf>
    <x:xf numFmtId="165" fontId="0" fillId="0" borderId="0" xfId="0" applyAlignment="1">
      <x:alignment horizontal="right" vertical="center"/>
    </x:xf>
    <x:xf numFmtId="165" fontId="7" fillId="0" borderId="3" xfId="0" applyAlignment="1">
      <x:alignment horizontal="right" vertical="center"/>
    </x:xf>
    <x:xf numFmtId="164" fontId="0" fillId="0" borderId="0" xfId="0" applyAlignment="1">
      <x:alignment vertical="center" wrapText="1"/>
    </x:xf>
    <x:xf numFmtId="165" fontId="0" fillId="0" borderId="0" xfId="0" applyAlignment="1">
      <x:alignment vertical="center" wrapText="1"/>
    </x:xf>
    <x:xf numFmtId="165" fontId="7" fillId="0" borderId="3" xfId="0" applyAlignment="1">
      <x:alignment vertical="center" wrapText="1"/>
    </x:xf>
    <x:xf numFmtId="0" fontId="8" fillId="3" borderId="4" xfId="0" applyNumberFormat="1" applyFont="1" applyFill="1" applyBorder="1"/>
    <x:xf numFmtId="0" fontId="6" fillId="3" borderId="1" xfId="0" applyNumberFormat="1" applyFont="1" applyFill="1" applyBorder="1"/>
    <x:xf numFmtId="0" fontId="10" fillId="3" borderId="4" xfId="0" applyNumberFormat="1" applyFont="1" applyFill="1" applyBorder="1"/>
    <x:xf numFmtId="0" fontId="10" fillId="3" borderId="1" xfId="0" applyNumberFormat="1" applyFont="1" applyFill="1" applyBorder="1"/>
    <x:xf numFmtId="0" fontId="10" fillId="3" borderId="4" xfId="0" applyNumberFormat="1" applyFont="1" applyFill="1" applyBorder="1" applyAlignment="1">
      <x:alignment wrapText="0"/>
    </x:xf>
    <x:xf numFmtId="0" fontId="10" fillId="3" borderId="1" xfId="0" applyNumberFormat="1" applyFont="1" applyFill="1" applyBorder="1" applyAlignment="1">
      <x:alignment wrapText="0"/>
    </x:xf>
    <x:xf numFmtId="0" fontId="9" fillId="4" borderId="0" xfId="0" applyNumberFormat="1" applyFont="1" applyFill="1" applyBorder="1" applyAlignment="1">
      <x:alignment horizontal="left" wrapText="1"/>
    </x:xf>
    <x:xf numFmtId="0" fontId="9" fillId="4" borderId="0" xfId="0" applyNumberFormat="1" applyFont="1" applyFill="1" applyBorder="1" applyAlignment="1">
      <x:alignment horizontal="right" wrapText="1"/>
    </x:xf>
    <x:xf numFmtId="0" fontId="9" fillId="4" borderId="13" xfId="0" applyNumberFormat="1" applyFont="1" applyFill="1" applyBorder="1" applyAlignment="1">
      <x:alignment horizontal="left" wrapText="1"/>
    </x:xf>
    <x:xf numFmtId="0" fontId="11" fillId="4" borderId="0" xfId="0" applyNumberFormat="1" applyFont="1" applyFill="1" applyBorder="1" applyAlignment="1">
      <x:alignment horizontal="left" wrapText="1"/>
    </x:xf>
    <x:xf numFmtId="0" fontId="11" fillId="4" borderId="0" xfId="0" applyNumberFormat="1" applyFont="1" applyFill="1" applyBorder="1" applyAlignment="1">
      <x:alignment horizontal="right" wrapText="1"/>
    </x:xf>
    <x:xf numFmtId="0" fontId="11" fillId="4" borderId="13" xfId="0" applyNumberFormat="1" applyFont="1" applyFill="1" applyBorder="1" applyAlignment="1">
      <x:alignment horizontal="left" wrapText="1"/>
    </x:xf>
    <x:xf numFmtId="0" fontId="12" fillId="0" borderId="0" xfId="0" applyNumberFormat="1" applyFont="1" applyFill="1" applyBorder="1" applyAlignment="1">
      <x:alignment vertical="center" wrapText="1"/>
    </x:xf>
    <x:xf numFmtId="164" fontId="12" fillId="0" borderId="0" xfId="0" applyNumberFormat="1" applyFont="1" applyFill="1" applyBorder="1" applyAlignment="1">
      <x:alignment horizontal="right" vertical="center"/>
    </x:xf>
    <x:xf numFmtId="165" fontId="12" fillId="0" borderId="0" xfId="0" applyNumberFormat="1" applyFont="1" applyFill="1" applyBorder="1" applyAlignment="1">
      <x:alignment horizontal="right" vertical="center"/>
    </x:xf>
    <x:xf numFmtId="14" fontId="12" fillId="0" borderId="0" xfId="0" applyNumberFormat="1" applyFont="1" applyFill="1" applyBorder="1" applyAlignment="1">
      <x:alignment horizontal="right" vertical="center"/>
    </x:xf>
    <x:xf numFmtId="2" fontId="12" fillId="0" borderId="0" xfId="0" applyNumberFormat="1" applyFont="1" applyFill="1" applyBorder="1" applyAlignment="1">
      <x:alignment horizontal="right" vertical="center"/>
    </x:xf>
    <x:xf numFmtId="0" fontId="12" fillId="0" borderId="3" xfId="0" applyNumberFormat="1" applyFont="1" applyFill="1" applyBorder="1" applyAlignment="1">
      <x:alignment vertical="center" wrapText="1"/>
    </x:xf>
    <x:xf numFmtId="14" fontId="12" fillId="0" borderId="3" xfId="0" applyNumberFormat="1" applyFont="1" applyFill="1" applyBorder="1" applyAlignment="1">
      <x:alignment horizontal="right" vertical="center"/>
    </x:xf>
    <x:xf numFmtId="165" fontId="12" fillId="0" borderId="3" xfId="0" applyNumberFormat="1" applyFont="1" applyFill="1" applyBorder="1" applyAlignment="1">
      <x:alignment horizontal="right" vertical="center"/>
    </x:xf>
    <x:xf numFmtId="2" fontId="12" fillId="0" borderId="3" xfId="0" applyNumberFormat="1" applyFont="1" applyFill="1" applyBorder="1" applyAlignment="1">
      <x:alignment horizontal="right" vertical="center"/>
    </x:xf>
    <x:xf numFmtId="164" fontId="12" fillId="0" borderId="0" xfId="0" applyNumberFormat="1" applyFont="1" applyFill="1" applyBorder="1" applyAlignment="1">
      <x:alignment horizontal="right" vertical="center" wrapText="1"/>
    </x:xf>
    <x:xf numFmtId="165" fontId="12" fillId="0" borderId="0" xfId="0" applyNumberFormat="1" applyFont="1" applyFill="1" applyBorder="1" applyAlignment="1">
      <x:alignment horizontal="right" vertical="center" wrapText="1"/>
    </x:xf>
    <x:xf numFmtId="14" fontId="12" fillId="0" borderId="0" xfId="0" applyNumberFormat="1" applyFont="1" applyFill="1" applyBorder="1" applyAlignment="1">
      <x:alignment horizontal="right" vertical="center" wrapText="1"/>
    </x:xf>
    <x:xf numFmtId="2" fontId="12" fillId="0" borderId="0" xfId="0" applyNumberFormat="1" applyFont="1" applyFill="1" applyBorder="1" applyAlignment="1">
      <x:alignment horizontal="right" vertical="center" wrapText="1"/>
    </x:xf>
    <x:xf numFmtId="14" fontId="12" fillId="0" borderId="3" xfId="0" applyNumberFormat="1" applyFont="1" applyFill="1" applyBorder="1" applyAlignment="1">
      <x:alignment horizontal="right" vertical="center" wrapText="1"/>
    </x:xf>
    <x:xf numFmtId="165" fontId="12" fillId="0" borderId="3" xfId="0" applyNumberFormat="1" applyFont="1" applyFill="1" applyBorder="1" applyAlignment="1">
      <x:alignment horizontal="right" vertical="center" wrapText="1"/>
    </x:xf>
    <x:xf numFmtId="2" fontId="12" fillId="0" borderId="3" xfId="0" applyNumberFormat="1" applyFont="1" applyFill="1" applyBorder="1" applyAlignment="1">
      <x:alignment horizontal="right" vertical="center" wrapText="1"/>
    </x:xf>
    <x:xf numFmtId="164" fontId="12" fillId="0" borderId="3" xfId="0" applyNumberFormat="1" applyFont="1" applyFill="1" applyBorder="1" applyAlignment="1">
      <x:alignment horizontal="right" vertical="center" wrapText="1"/>
    </x:xf>
    <x:xf numFmtId="164" fontId="0" fillId="0" borderId="6" xfId="0" applyNumberFormat="1" applyFont="1" applyFill="1" applyBorder="1" applyAlignment="1">
      <x:alignment horizontal="right" vertical="center"/>
    </x:xf>
    <x:xf numFmtId="164" fontId="0" fillId="0" borderId="0" xfId="0" applyNumberFormat="1" applyFont="1" applyFill="1" applyBorder="1" applyAlignment="1">
      <x:alignment horizontal="right" vertical="center"/>
    </x:xf>
    <x:xf numFmtId="165" fontId="0" fillId="0" borderId="6" xfId="0" applyNumberFormat="1" applyFont="1" applyFill="1" applyBorder="1" applyAlignment="1">
      <x:alignment horizontal="right" vertical="center"/>
    </x:xf>
    <x:xf numFmtId="165" fontId="0" fillId="0" borderId="0" xfId="0" applyNumberFormat="1" applyFont="1" applyFill="1" applyBorder="1" applyAlignment="1">
      <x:alignment horizontal="right" vertical="center"/>
    </x:xf>
    <x:xf numFmtId="165" fontId="0" fillId="0" borderId="11" xfId="0" applyNumberFormat="1" applyFont="1" applyFill="1" applyBorder="1" applyAlignment="1">
      <x:alignment horizontal="right" vertical="center"/>
    </x:xf>
    <x:xf numFmtId="0" fontId="0" fillId="5" borderId="6" xfId="0" applyNumberFormat="1" applyFont="1" applyFill="1" applyBorder="1" applyAlignment="1">
      <x:alignment vertical="center" wrapText="1"/>
    </x:xf>
    <x:xf numFmtId="164" fontId="0" fillId="5" borderId="6" xfId="0" applyNumberFormat="1" applyFont="1" applyFill="1" applyBorder="1" applyAlignment="1">
      <x:alignment horizontal="right" vertical="center"/>
    </x:xf>
    <x:xf numFmtId="165" fontId="0" fillId="5" borderId="6" xfId="0" applyNumberFormat="1" applyFont="1" applyFill="1" applyBorder="1" applyAlignment="1">
      <x:alignment horizontal="right" vertical="center"/>
    </x:xf>
    <x:xf numFmtId="0" fontId="0" fillId="5" borderId="7" xfId="0" applyNumberFormat="1" applyFont="1" applyFill="1" applyBorder="1" applyAlignment="1">
      <x:alignment vertical="center" wrapText="1"/>
    </x:xf>
    <x:xf numFmtId="0" fontId="13" fillId="5" borderId="6" xfId="0" applyNumberFormat="1" applyFont="1" applyFill="1" applyBorder="1" applyAlignment="1">
      <x:alignment vertical="center" wrapText="1"/>
    </x:xf>
    <x:xf numFmtId="164" fontId="13" fillId="5" borderId="6" xfId="0" applyNumberFormat="1" applyFont="1" applyFill="1" applyBorder="1" applyAlignment="1">
      <x:alignment horizontal="right" vertical="center"/>
    </x:xf>
    <x:xf numFmtId="165" fontId="13" fillId="5" borderId="6" xfId="0" applyNumberFormat="1" applyFont="1" applyFill="1" applyBorder="1" applyAlignment="1">
      <x:alignment horizontal="right" vertical="center"/>
    </x:xf>
    <x:xf numFmtId="0" fontId="13" fillId="5" borderId="7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vertical="center" wrapText="0"/>
    </x:xf>
    <x:xf numFmtId="0" fontId="10" fillId="3" borderId="0" xfId="0" applyNumberFormat="1" applyFont="1" applyFill="1" applyBorder="1" applyAlignment="1">
      <x:alignment vertical="center" wrapText="0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13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13" xfId="0" applyNumberFormat="1" applyFont="1" applyFill="1" applyBorder="1" applyAlignment="1">
      <x:alignment vertical="center" wrapText="1"/>
    </x:xf>
    <x:xf numFmtId="164" fontId="12" fillId="0" borderId="0" xfId="0" applyNumberFormat="1" applyFont="1" applyFill="1" applyBorder="1" applyAlignment="1">
      <x:alignment vertical="center" wrapText="1"/>
    </x:xf>
    <x:xf numFmtId="165" fontId="12" fillId="0" borderId="0" xfId="0" applyNumberFormat="1" applyFont="1" applyFill="1" applyBorder="1" applyAlignment="1">
      <x:alignment vertical="center" wrapText="1"/>
    </x:xf>
    <x:xf numFmtId="165" fontId="12" fillId="0" borderId="3" xfId="0" applyNumberFormat="1" applyFont="1" applyFill="1" applyBorder="1" applyAlignment="1">
      <x:alignment vertical="center" wrapText="1"/>
    </x:xf>
    <x:xf numFmtId="164" fontId="12" fillId="0" borderId="3" xfId="0" applyNumberFormat="1" applyFont="1" applyFill="1" applyBorder="1" applyAlignment="1">
      <x:alignment vertical="center" wrapText="1"/>
    </x:xf>
    <x:xf numFmtId="164" fontId="0" fillId="0" borderId="6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165" fontId="0" fillId="0" borderId="6" xfId="0" applyNumberFormat="1" applyFont="1" applyFill="1" applyBorder="1" applyAlignment="1">
      <x:alignment vertical="center" wrapText="1"/>
    </x:xf>
    <x:xf numFmtId="165" fontId="0" fillId="0" borderId="0" xfId="0" applyNumberFormat="1" applyFont="1" applyFill="1" applyBorder="1" applyAlignment="1">
      <x:alignment vertical="center" wrapText="1"/>
    </x:xf>
    <x:xf numFmtId="165" fontId="0" fillId="0" borderId="11" xfId="0" applyNumberFormat="1" applyFont="1" applyFill="1" applyBorder="1" applyAlignment="1">
      <x:alignment vertical="center" wrapText="1"/>
    </x:xf>
    <x:xf numFmtId="164" fontId="0" fillId="5" borderId="6" xfId="0" applyNumberFormat="1" applyFont="1" applyFill="1" applyBorder="1" applyAlignment="1">
      <x:alignment vertical="center" wrapText="1"/>
    </x:xf>
    <x:xf numFmtId="165" fontId="0" fillId="5" borderId="6" xfId="0" applyNumberFormat="1" applyFont="1" applyFill="1" applyBorder="1" applyAlignment="1">
      <x:alignment vertical="center" wrapText="1"/>
    </x:xf>
    <x:xf numFmtId="164" fontId="13" fillId="5" borderId="6" xfId="0" applyNumberFormat="1" applyFont="1" applyFill="1" applyBorder="1" applyAlignment="1">
      <x:alignment vertical="center" wrapText="1"/>
    </x:xf>
    <x:xf numFmtId="165" fontId="13" fillId="5" borderId="6" xfId="0" applyNumberFormat="1" applyFont="1" applyFill="1" applyBorder="1" applyAlignment="1">
      <x:alignment vertical="center" wrapText="1"/>
    </x:xf>
  </x:cellXfs>
  <x:cellStyles count="12">
    <x:cellStyle name="Normal" xfId="0"/>
    <x:cellStyle name="Percent" xfId="1"/>
    <x:cellStyle name="Heading 1" xfId="2"/>
    <x:cellStyle name="Comma" xfId="3"/>
    <x:cellStyle name="Comma [0]" xfId="4"/>
    <x:cellStyle name="Currency" xfId="5"/>
    <x:cellStyle name="Currency [0]" xfId="6"/>
    <x:cellStyle name="Note" xfId="7"/>
    <x:cellStyle name="Date" xfId="8"/>
    <x:cellStyle name="Done" xfId="9"/>
    <x:cellStyle name="Title" xfId="10"/>
    <x:cellStyle name="Heading 2" xfId="11"/>
  </x:cellStyles>
  <x:dxfs count="18">
    <x:dxf>
      <x:numFmt numFmtId="2" formatCode="0.00"/>
    </x:dxf>
    <x:dxf>
      <x:numFmt numFmtId="2" formatCode="0.00"/>
    </x:dxf>
    <x:dxf>
      <x:fill>
        <x:patternFill>
          <x:bgColor theme="0" tint="-0.04999"/>
        </x:patternFill>
      </x:fill>
    </x:dxf>
    <x:dxf>
      <x:numFmt numFmtId="2" formatCode="0.00"/>
    </x:dxf>
    <x:dxf>
      <x:numFmt numFmtId="2" formatCode="0.00"/>
    </x:dxf>
    <x:dxf>
      <x:fill>
        <x:patternFill>
          <x:bgColor theme="0" tint="-0.04999"/>
        </x:patternFill>
      </x:fill>
    </x:dxf>
    <x:dxf>
      <x:border>
        <x:bottom style="thin">
          <x:color theme="0" tint="-0.14994"/>
        </x:bottom>
      </x:border>
    </x:dxf>
    <x:dxf>
      <x:fill>
        <x:patternFill>
          <x:bgColor theme="6" tint="0.79998"/>
        </x:patternFill>
      </x:fill>
      <x:border>
        <x:bottom style="thin">
          <x:color theme="6" tint="0.39998"/>
        </x:bottom>
      </x:border>
    </x:dxf>
    <x:dxf>
      <x:fill>
        <x:patternFill>
          <x:bgColor theme="6" tint="0.79998"/>
        </x:patternFill>
      </x:fill>
      <x:border>
        <x:bottom style="thin">
          <x:color theme="6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bottom style="thin">
          <x:color theme="6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6"/>
        </x:top>
        <x:bottom style="thin">
          <x:color theme="6"/>
        </x:bottom>
      </x:border>
    </x:dxf>
    <x:dxf>
      <x:fill>
        <x:patternFill>
          <x:bgColor theme="0" tint="-0.15"/>
        </x:patternFill>
      </x:fill>
    </x:dxf>
    <x:dxf>
      <x:fill>
        <x:patternFill>
          <x:bgColor theme="0" tint="-0.15"/>
        </x:patternFill>
      </x:fill>
      <x:border>
        <x:left style="thin">
          <x:color theme="0" tint="-0.24998"/>
        </x:left>
        <x:right style="thin">
          <x:color theme="0" tint="-0.24998"/>
        </x:right>
      </x:border>
    </x:dxf>
    <x:dxf>
      <x:fill>
        <x:patternFill>
          <x:bgColor theme="0" tint="-0.15"/>
        </x:patternFill>
      </x:fill>
    </x:dxf>
    <x:dxf>
      <x:font>
        <x:b/>
        <x:color theme="1"/>
      </x:font>
      <x:fill>
        <x:patternFill>
          <x:bgColor theme="6" tint="0.79998"/>
        </x:patternFill>
      </x:fill>
      <x:border>
        <x:top style="thin">
          <x:color theme="6" tint="0.39998"/>
        </x:top>
      </x:border>
    </x:dxf>
    <x:dxf>
      <x:font>
        <x:b/>
        <x:color theme="1"/>
      </x:font>
      <x:fill>
        <x:patternFill>
          <x:bgColor theme="6" tint="0.79998"/>
        </x:patternFill>
      </x:fill>
      <x:border>
        <x:top style="thick">
          <x:color theme="7" tint="0.39995"/>
        </x:top>
        <x:bottom style="thin">
          <x:color theme="6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aba95e5a74b62" /><Relationship Type="http://schemas.openxmlformats.org/officeDocument/2006/relationships/theme" Target="/xl/theme/theme1.xml" Id="Rcb335ad86e514cb2" /><Relationship Type="http://schemas.openxmlformats.org/officeDocument/2006/relationships/sharedStrings" Target="/xl/sharedStrings.xml" Id="Rffa11b2581544e27" /><Relationship Type="http://schemas.openxmlformats.org/officeDocument/2006/relationships/worksheet" Target="/xl/worksheets/sheet1.xml" Id="R292d0447310b4cb5" /><Relationship Type="http://schemas.openxmlformats.org/officeDocument/2006/relationships/worksheet" Target="/xl/worksheets/sheet2.xml" Id="R3bf71bd15bc24038" /><Relationship Type="http://schemas.openxmlformats.org/officeDocument/2006/relationships/worksheet" Target="/xl/worksheets/sheet3.xml" Id="R48e58dcf243a441a" /><Relationship Type="http://schemas.openxmlformats.org/officeDocument/2006/relationships/worksheet" Target="/xl/worksheets/sheet4.xml" Id="R757f3b84764d45c7" /></Relationships>
</file>

<file path=xl/tables/table1.xml><?xml version="1.0" encoding="utf-8"?>
<x:table xmlns:x="http://schemas.openxmlformats.org/spreadsheetml/2006/main" id="1" name="ToDoList23" displayName="ToDoList23" ref="B2:K15" headerRowCount="1" totalsRowShown="0">
  <x:autoFilter ref="B2:K15"/>
  <x:tableColumns count="10">
    <x:tableColumn id="1" name="TASK"/>
    <x:tableColumn id="3" name="PRIORITY "/>
    <x:tableColumn id="4" name="STATUS "/>
    <x:tableColumn id="6" name="Estimated START DATE "/>
    <x:tableColumn id="7" name="Estimated DUE DATE "/>
    <x:tableColumn id="13" name=" Estimated Hours" dataDxfId="1"/>
    <x:tableColumn id="11" name="Actual Start Date"/>
    <x:tableColumn id="9" name="Actual Completion Date"/>
    <x:tableColumn id="14" name="Actual Hours" dataDxfId="0"/>
    <x:tableColumn id="10" name="NOTES"/>
  </x:tableColumns>
  <x:tableStyleInfo name="To-Do List" showFirstColumn="0" showLastColumn="0" showRowStripes="0" showColumnStripes="0"/>
</x:table>
</file>

<file path=xl/tables/table2.xml><?xml version="1.0" encoding="utf-8"?>
<x:table xmlns:x="http://schemas.openxmlformats.org/spreadsheetml/2006/main" id="2" name="ToDoList2" displayName="ToDoList2" ref="B2:K15" headerRowCount="1" totalsRowShown="0">
  <x:autoFilter ref="B2:K15"/>
  <x:tableColumns count="10">
    <x:tableColumn id="1" name="TASK"/>
    <x:tableColumn id="3" name="PRIORITY "/>
    <x:tableColumn id="4" name="STATUS "/>
    <x:tableColumn id="6" name="Estimated START DATE "/>
    <x:tableColumn id="7" name="Estimated DUE DATE "/>
    <x:tableColumn id="13" name=" Estimated Hours" dataDxfId="4"/>
    <x:tableColumn id="11" name="Actual Start Date"/>
    <x:tableColumn id="9" name="Actual Completion Date"/>
    <x:tableColumn id="14" name="Actual Hours" dataDxfId="3"/>
    <x:tableColumn id="10" name="NOTES"/>
  </x:tableColumns>
  <x:tableStyleInfo name="To-Do List" showFirstColumn="0" showLastColumn="0" showRowStripes="0" showColumnStripes="0"/>
</x:table>
</file>

<file path=xl/tables/table3.xml><?xml version="1.0" encoding="utf-8"?>
<x:table xmlns:x="http://schemas.openxmlformats.org/spreadsheetml/2006/main" id="3" name="ToDoListRoleC" displayName="ToDoListRoleC" ref="B2:K12" headerRowCount="1" totalsRowCount="0" totalsRowShown="0">
  <x:tableColumns count="10">
    <x:tableColumn id="1" name="TASK"/>
    <x:tableColumn id="2" name="PRIORITY "/>
    <x:tableColumn id="3" name="STATUS "/>
    <x:tableColumn id="4" name="Estimated START DATE "/>
    <x:tableColumn id="5" name="Estimated DUE DATE "/>
    <x:tableColumn id="6" name=" Estimated Hours"/>
    <x:tableColumn id="7" name="Actual Start Date"/>
    <x:tableColumn id="8" name="Actual Completion Date"/>
    <x:tableColumn id="9" name="Actual Hours"/>
    <x:tableColumn id="10" name="NOTES"/>
  </x:tableColumns>
  <x:tableStyleInfo name="To-Do List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To-Do 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cc6d7a04954e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7a1d3067694d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f080f606964d50" /></Relationships>
</file>

<file path=xl/worksheets/sheet1.xml><?xml version="1.0" encoding="utf-8"?>
<x:worksheet xmlns:x="http://schemas.openxmlformats.org/spreadsheetml/2006/main">
  <x:sheetPr>
    <x:tabColor theme="4"/>
  </x:sheetPr>
  <x:sheetViews>
    <x:sheetView showGridLines="0" workbookViewId="0">
      <x:pane ySplit="2" topLeftCell="A3" activePane="bottomLeft" state="frozen"/>
    </x:sheetView>
  </x:sheetViews>
  <x:sheetFormatPr baseColWidth="8" defaultColWidth="8.88671875" defaultRowHeight="30"/>
  <x:cols>
    <x:col min="1" max="1" width="2.77734375" style="51" customWidth="1"/>
    <x:col min="2" max="2" width="60" style="51" hidden="0" customWidth="1"/>
    <x:col min="3" max="3" width="15" style="51" hidden="0" customWidth="1"/>
    <x:col min="4" max="4" width="15" style="51" hidden="0" customWidth="1"/>
    <x:col min="5" max="5" width="15" style="51" hidden="0" customWidth="1"/>
    <x:col min="6" max="6" width="15" style="51" hidden="0" customWidth="1"/>
    <x:col min="7" max="7" width="12" style="51" hidden="0" customWidth="1"/>
    <x:col min="8" max="8" width="16" style="51" hidden="0" customWidth="1"/>
    <x:col min="9" max="9" width="16" style="51" hidden="0" customWidth="1"/>
    <x:col min="10" max="10" width="12" style="51" hidden="0" customWidth="1"/>
    <x:col min="11" max="11" width="60" style="51" hidden="0" customWidth="1"/>
    <x:col min="12" max="12" width="29.6640625" style="51" customWidth="1"/>
    <x:col min="13" max="13" width="2.77734375" style="51" customWidth="1"/>
  </x:cols>
  <x:sheetData>
    <x:row r="1" s="51" customFormat="1" ht="36" customHeight="1">
      <x:c r="B1" s="62" t="str">
        <x:v>DealerOps Sprint 1 — Bedgel Fadhil Ndam Woukouo — Web</x:v>
      </x:c>
      <x:c r="C1" s="63"/>
      <x:c r="D1" s="63"/>
      <x:c r="E1" s="63"/>
      <x:c r="F1" s="63"/>
      <x:c r="G1" s="63"/>
      <x:c r="H1" s="63"/>
      <x:c r="I1" s="63"/>
      <x:c r="J1" s="63"/>
      <x:c r="K1" s="63"/>
      <x:c r="L1" s="2" t="n"/>
    </x:row>
    <x:row r="2" s="51" customFormat="1" ht="32" customHeight="1">
      <x:c r="B2" s="67" t="str">
        <x:v>Task</x:v>
      </x:c>
      <x:c r="C2" s="67" t="str">
        <x:v>Priority</x:v>
      </x:c>
      <x:c r="D2" s="67" t="str">
        <x:v>Status</x:v>
      </x:c>
      <x:c r="E2" s="68" t="str">
        <x:v>Planned start</x:v>
      </x:c>
      <x:c r="F2" s="68" t="str">
        <x:v>Planned due</x:v>
      </x:c>
      <x:c r="G2" s="68" t="str">
        <x:v>Planned hours</x:v>
      </x:c>
      <x:c r="H2" s="68" t="str">
        <x:v>Actual start</x:v>
      </x:c>
      <x:c r="I2" s="68" t="str">
        <x:v>Actual completion</x:v>
      </x:c>
      <x:c r="J2" s="68" t="str">
        <x:v>Actual hours</x:v>
      </x:c>
      <x:c r="K2" s="69" t="str">
        <x:v>Requirement and evidence notes</x:v>
      </x:c>
    </x:row>
    <x:row r="3" s="51" customFormat="1" ht="64" customHeight="1">
      <x:c r="B3" s="70" t="str">
        <x:v>Review core and extension routes; record a route checklist and scope discrepancies</x:v>
      </x:c>
      <x:c r="C3" s="70" t="str">
        <x:v>High</x:v>
      </x:c>
      <x:c r="D3" s="70" t="str">
        <x:v>Not Started</x:v>
      </x:c>
      <x:c r="E3" s="79" t="n">
        <x:v>46307</x:v>
      </x:c>
      <x:c r="F3" s="79" t="n">
        <x:v>46308</x:v>
      </x:c>
      <x:c r="G3" s="80" t="n">
        <x:v>3</x:v>
      </x:c>
      <x:c r="H3" s="79"/>
      <x:c r="I3" s="79"/>
      <x:c r="J3" s="80"/>
      <x:c r="K3" s="70" t="str">
        <x:v>Scope baseline; VIN/LEAD/WO/AUTH/IMG</x:v>
      </x:c>
    </x:row>
    <x:row r="4" s="51" customFormat="1" ht="64" customHeight="1">
      <x:c r="B4" s="70" t="str">
        <x:v>Walk admin, bound and unbound access with email, username and phone sign-in; record outcomes</x:v>
      </x:c>
      <x:c r="C4" s="70" t="str">
        <x:v>High</x:v>
      </x:c>
      <x:c r="D4" s="70" t="str">
        <x:v>Not Started</x:v>
      </x:c>
      <x:c r="E4" s="79" t="n">
        <x:v>46309</x:v>
      </x:c>
      <x:c r="F4" s="79" t="n">
        <x:v>46310</x:v>
      </x:c>
      <x:c r="G4" s="80" t="n">
        <x:v>3</x:v>
      </x:c>
      <x:c r="H4" s="79"/>
      <x:c r="I4" s="79"/>
      <x:c r="J4" s="80"/>
      <x:c r="K4" s="70" t="str">
        <x:v>AUTH-01/03/08/11/12/17; screenshots and Jira pass/fail outcomes</x:v>
      </x:c>
    </x:row>
    <x:row r="5" s="51" customFormat="1" ht="64" customHeight="1">
      <x:c r="B5" s="70" t="str">
        <x:v>Create, edit, search and filter vehicles; record field and VIN outcomes</x:v>
      </x:c>
      <x:c r="C5" s="70" t="str">
        <x:v>High</x:v>
      </x:c>
      <x:c r="D5" s="70" t="str">
        <x:v>Not Started</x:v>
      </x:c>
      <x:c r="E5" s="79" t="n">
        <x:v>46311</x:v>
      </x:c>
      <x:c r="F5" s="79" t="n">
        <x:v>46312</x:v>
      </x:c>
      <x:c r="G5" s="80" t="n">
        <x:v>3</x:v>
      </x:c>
      <x:c r="H5" s="79"/>
      <x:c r="I5" s="79"/>
      <x:c r="J5" s="80"/>
      <x:c r="K5" s="70" t="str">
        <x:v>DMS-01/03/05/07</x:v>
      </x:c>
    </x:row>
    <x:row r="6" s="51" customFormat="1" ht="64" customHeight="1">
      <x:c r="B6" s="70" t="str">
        <x:v>Sell a vehicle; record paired-field, sold-lock and audit outcomes</x:v>
      </x:c>
      <x:c r="C6" s="70" t="str">
        <x:v>High</x:v>
      </x:c>
      <x:c r="D6" s="70" t="str">
        <x:v>Not Started</x:v>
      </x:c>
      <x:c r="E6" s="79" t="n">
        <x:v>46314</x:v>
      </x:c>
      <x:c r="F6" s="79" t="n">
        <x:v>46315</x:v>
      </x:c>
      <x:c r="G6" s="80" t="n">
        <x:v>3</x:v>
      </x:c>
      <x:c r="H6" s="79"/>
      <x:c r="I6" s="79"/>
      <x:c r="J6" s="80"/>
      <x:c r="K6" s="70" t="str">
        <x:v>DMS-08/10/11/14</x:v>
      </x:c>
    </x:row>
    <x:row r="7" s="51" customFormat="1" ht="64" customHeight="1">
      <x:c r="B7" s="70" t="str">
        <x:v>Walk customer create, edit, detail, link and unlink, including linked vehicles and audit history</x:v>
      </x:c>
      <x:c r="C7" s="70" t="str">
        <x:v>High</x:v>
      </x:c>
      <x:c r="D7" s="70" t="str">
        <x:v>Not Started</x:v>
      </x:c>
      <x:c r="E7" s="79" t="n">
        <x:v>46316</x:v>
      </x:c>
      <x:c r="F7" s="79" t="n">
        <x:v>46317</x:v>
      </x:c>
      <x:c r="G7" s="80" t="n">
        <x:v>3</x:v>
      </x:c>
      <x:c r="H7" s="79"/>
      <x:c r="I7" s="79"/>
      <x:c r="J7" s="80"/>
      <x:c r="K7" s="70" t="str">
        <x:v>CRM-01/02/04/05/06/08/11; record observed results on Jira</x:v>
      </x:c>
    </x:row>
    <x:row r="8" s="51" customFormat="1" ht="64" customHeight="1">
      <x:c r="B8" s="70" t="str">
        <x:v>Walk VIN prefill and Image Studio upload, enhance, delete and isolation; record outcomes</x:v>
      </x:c>
      <x:c r="C8" s="70" t="str">
        <x:v>High</x:v>
      </x:c>
      <x:c r="D8" s="70" t="str">
        <x:v>Not Started</x:v>
      </x:c>
      <x:c r="E8" s="79" t="n">
        <x:v>46317</x:v>
      </x:c>
      <x:c r="F8" s="79" t="n">
        <x:v>46318</x:v>
      </x:c>
      <x:c r="G8" s="80" t="n">
        <x:v>3</x:v>
      </x:c>
      <x:c r="H8" s="79"/>
      <x:c r="I8" s="79"/>
      <x:c r="J8" s="80"/>
      <x:c r="K8" s="70" t="str">
        <x:v>EXT-01/08–10; VIN-01–04; IMG-01–05; screenshots and Jira findings</x:v>
      </x:c>
    </x:row>
    <x:row r="9" s="51" customFormat="1" ht="64" customHeight="1">
      <x:c r="B9" s="70" t="str">
        <x:v>Walk ad editor states; record Ready and export behavior for each state</x:v>
      </x:c>
      <x:c r="C9" s="70" t="str">
        <x:v>High</x:v>
      </x:c>
      <x:c r="D9" s="70" t="str">
        <x:v>Not Started</x:v>
      </x:c>
      <x:c r="E9" s="79" t="n">
        <x:v>46318</x:v>
      </x:c>
      <x:c r="F9" s="79" t="n">
        <x:v>46319</x:v>
      </x:c>
      <x:c r="G9" s="80" t="n">
        <x:v>3</x:v>
      </x:c>
      <x:c r="H9" s="79"/>
      <x:c r="I9" s="79"/>
      <x:c r="J9" s="80"/>
      <x:c r="K9" s="70" t="str">
        <x:v>AD-07/09/11/12</x:v>
      </x:c>
    </x:row>
    <x:row r="10" s="51" customFormat="1" ht="64" customHeight="1">
      <x:c r="B10" s="70" t="str">
        <x:v>Walk assistant cards and fallback; record absence of costs and customer contacts</x:v>
      </x:c>
      <x:c r="C10" s="70" t="str">
        <x:v>High</x:v>
      </x:c>
      <x:c r="D10" s="70" t="str">
        <x:v>Not Started</x:v>
      </x:c>
      <x:c r="E10" s="79" t="n">
        <x:v>46321</x:v>
      </x:c>
      <x:c r="F10" s="79" t="n">
        <x:v>46322</x:v>
      </x:c>
      <x:c r="G10" s="80" t="n">
        <x:v>3</x:v>
      </x:c>
      <x:c r="H10" s="79"/>
      <x:c r="I10" s="79"/>
      <x:c r="J10" s="80"/>
      <x:c r="K10" s="70" t="str">
        <x:v>AI-03/04</x:v>
      </x:c>
    </x:row>
    <x:row r="11" s="51" customFormat="1" ht="64" customHeight="1">
      <x:c r="B11" s="70" t="str">
        <x:v>Inspect browser traffic across core and extension routes; record Gateway-only outcomes</x:v>
      </x:c>
      <x:c r="C11" s="70" t="str">
        <x:v>High</x:v>
      </x:c>
      <x:c r="D11" s="70" t="str">
        <x:v>Not Started</x:v>
      </x:c>
      <x:c r="E11" s="79" t="n">
        <x:v>46323</x:v>
      </x:c>
      <x:c r="F11" s="79" t="n">
        <x:v>46324</x:v>
      </x:c>
      <x:c r="G11" s="80" t="n">
        <x:v>3</x:v>
      </x:c>
      <x:c r="H11" s="79"/>
      <x:c r="I11" s="79"/>
      <x:c r="J11" s="80"/>
      <x:c r="K11" s="70" t="str">
        <x:v>ARC-03; current extension routes</x:v>
      </x:c>
    </x:row>
    <x:row r="12" s="51" customFormat="1" ht="64" customHeight="1">
      <x:c r="B12" s="75" t="str">
        <x:v>Resolve one prioritized UI issue or document rechecks; prepare owned demo steps and evidence</x:v>
      </x:c>
      <x:c r="C12" s="75" t="str">
        <x:v>Normal</x:v>
      </x:c>
      <x:c r="D12" s="75" t="str">
        <x:v>Not Started</x:v>
      </x:c>
      <x:c r="E12" s="86" t="n">
        <x:v>46325</x:v>
      </x:c>
      <x:c r="F12" s="86" t="n">
        <x:v>46326</x:v>
      </x:c>
      <x:c r="G12" s="84" t="n">
        <x:v>3</x:v>
      </x:c>
      <x:c r="H12" s="86"/>
      <x:c r="I12" s="86"/>
      <x:c r="J12" s="84"/>
      <x:c r="K12" s="75" t="str">
        <x:v>Select Jira ID before starting; split work over 3 hours</x:v>
      </x:c>
    </x:row>
    <x:row r="13" s="51" customFormat="1" ht="25" customHeight="1">
      <x:c r="A13" s="27" t="n"/>
      <x:c r="B13" s="96" t="str">
        <x:v>Planned hours total</x:v>
      </x:c>
      <x:c r="C13" s="96"/>
      <x:c r="D13" s="96"/>
      <x:c r="E13" s="97"/>
      <x:c r="F13" s="97"/>
      <x:c r="G13" s="98" t="n">
        <x:f>SUM(G3:G12)</x:f>
        <x:v>30</x:v>
      </x:c>
      <x:c r="H13" s="97"/>
      <x:c r="I13" s="97"/>
      <x:c r="J13" s="98"/>
      <x:c r="K13" s="99"/>
    </x:row>
    <x:row r="14" s="51" customFormat="1" ht="1" customHeight="1">
      <x:c r="A14" s="32" t="n"/>
      <x:c r="B14" s="33"/>
      <x:c r="C14" s="33"/>
      <x:c r="D14" s="33"/>
      <x:c r="E14" s="88"/>
      <x:c r="F14" s="88"/>
      <x:c r="G14" s="90"/>
      <x:c r="H14" s="88"/>
      <x:c r="I14" s="88"/>
      <x:c r="J14" s="90"/>
      <x:c r="K14" s="36"/>
    </x:row>
    <x:row r="15" s="51" customFormat="1" ht="1" customHeight="1">
      <x:c r="A15" s="37" t="n"/>
      <x:c r="B15" s="38"/>
      <x:c r="C15" s="38"/>
      <x:c r="D15" s="38"/>
      <x:c r="E15" s="39"/>
      <x:c r="F15" s="39"/>
      <x:c r="G15" s="91"/>
      <x:c r="H15" s="39"/>
      <x:c r="I15" s="39"/>
      <x:c r="J15" s="40"/>
      <x:c r="K15" s="41"/>
    </x:row>
    <x:row r="17" ht="24" customHeight="1">
      <x:c r="B17" s="100" t="str">
        <x:v>Sprint 1: Oct 12–Nov 1, 2026. Ten tasks × 3 hours = 30 hours per member. Due dates are the day after the planned start.</x:v>
      </x:c>
      <x:c r="C17" s="100"/>
      <x:c r="D17" s="100"/>
      <x:c r="E17" s="100"/>
      <x:c r="F17" s="100"/>
      <x:c r="G17" s="100"/>
      <x:c r="H17" s="100"/>
      <x:c r="I17" s="100"/>
      <x:c r="J17" s="100"/>
      <x:c r="K17" s="100"/>
    </x:row>
    <x:row r="18" ht="24" customHeight="1">
      <x:c r="B18" s="100" t="str">
        <x:v>Update actual dates, hours and status only after work occurs. Add Jira / evidence links to Notes. Split tasks over 3 hours and replan carryover.</x:v>
      </x:c>
      <x:c r="C18" s="100"/>
      <x:c r="D18" s="100"/>
      <x:c r="E18" s="100"/>
      <x:c r="F18" s="100"/>
      <x:c r="G18" s="100"/>
      <x:c r="H18" s="100"/>
      <x:c r="I18" s="100"/>
      <x:c r="J18" s="100"/>
      <x:c r="K18" s="100"/>
    </x:row>
  </x:sheetData>
  <x:mergeCells>
    <x:mergeCell ref="B1:K1"/>
    <x:mergeCell ref="B17:K17"/>
    <x:mergeCell ref="B18:K18"/>
  </x:mergeCells>
  <x:conditionalFormatting sqref="B3:K15">
    <x:cfRule type="expression" dxfId="2" priority="2">
      <x:formula>AND(#REF!=0,#REF!&lt;&gt;"")</x:formula>
    </x:cfRule>
  </x:conditionalFormatting>
  <x:dataValidations count="9">
    <x:dataValidation allowBlank="1" showDropDown="0" showInputMessage="1" showErrorMessage="1" prompt="Create a To-do list with progress tracker in this worksheet" sqref="A1"/>
    <x:dataValidation allowBlank="1" showDropDown="0" showInputMessage="1" showErrorMessage="1" prompt="Worksheet title is in this cell" sqref="B1"/>
    <x:dataValidation allowBlank="1" showDropDown="0" showInputMessage="1" showErrorMessage="1" prompt="Enter Task in this column under this heading. Use heading filters to find specific entries" sqref="B2"/>
    <x:dataValidation allowBlank="1" showDropDown="0" showInputMessage="1" showErrorMessage="1" prompt="Select Priority in this column under this heading. Press ALT+DOWN ARROW to open the drop-down list, then ENTER to make selection" sqref="C2"/>
    <x:dataValidation allowBlank="1" showDropDown="0" showInputMessage="1" showErrorMessage="1" prompt="Select Status in this column under this heading.  Press ALT+DOWN ARROW to open the drop-down list, then ENTER to make selection" sqref="D2"/>
    <x:dataValidation allowBlank="1" showDropDown="0" showInputMessage="1" showErrorMessage="1" prompt="Enter Start Date in this column under this heading" sqref="E2"/>
    <x:dataValidation allowBlank="1" showDropDown="0" showInputMessage="1" showErrorMessage="1" prompt="Icon indicator for task completion in this column under this heading is automatically updated as tasks complete" sqref="I2:J2"/>
    <x:dataValidation allowBlank="1" showDropDown="0" showInputMessage="1" showErrorMessage="1" prompt="Enter Notes in this column under this heading" sqref="K2"/>
    <x:dataValidation allowBlank="1" showDropDown="0" showInputMessage="1" showErrorMessage="1" prompt="Enter Due Date in this column under this heading" sqref="F2:H2 J2"/>
  </x:dataValidations>
  <x:pageMargins left="0.7" right="0.7" top="0.75" bottom="0.75" header="0.3" footer="0.3"/>
  <x:tableParts count="1">
    <x:tablePart xmlns:r="http://schemas.openxmlformats.org/officeDocument/2006/relationships" r:id="R62cc6d7a04954e26"/>
  </x:tableParts>
</x:worksheet>
</file>

<file path=xl/worksheets/sheet2.xml><?xml version="1.0" encoding="utf-8"?>
<x:worksheet xmlns:x="http://schemas.openxmlformats.org/spreadsheetml/2006/main">
  <x:sheetPr>
    <x:tabColor theme="4"/>
  </x:sheetPr>
  <x:sheetViews>
    <x:sheetView showGridLines="0" workbookViewId="0">
      <x:pane ySplit="2" topLeftCell="A3" activePane="bottomLeft" state="frozen"/>
    </x:sheetView>
  </x:sheetViews>
  <x:sheetFormatPr baseColWidth="8" defaultColWidth="8.88671875" defaultRowHeight="30"/>
  <x:cols>
    <x:col min="1" max="1" width="2.77734375" style="51" customWidth="1"/>
    <x:col min="2" max="2" width="60" style="51" hidden="0" customWidth="1"/>
    <x:col min="3" max="3" width="15" style="51" hidden="0" customWidth="1"/>
    <x:col min="4" max="4" width="15" style="51" hidden="0" customWidth="1"/>
    <x:col min="5" max="5" width="15" style="51" hidden="0" customWidth="1"/>
    <x:col min="6" max="6" width="15" style="51" hidden="0" customWidth="1"/>
    <x:col min="7" max="7" width="12" style="51" hidden="0" customWidth="1"/>
    <x:col min="8" max="8" width="16" style="51" hidden="0" customWidth="1"/>
    <x:col min="9" max="9" width="16" style="51" hidden="0" customWidth="1"/>
    <x:col min="10" max="10" width="12" style="51" hidden="0" customWidth="1"/>
    <x:col min="11" max="11" width="60" style="51" hidden="0" customWidth="1"/>
    <x:col min="12" max="12" width="29.6640625" style="51" customWidth="1"/>
    <x:col min="13" max="13" width="2.77734375" style="51" customWidth="1"/>
  </x:cols>
  <x:sheetData>
    <x:row r="1" s="51" customFormat="1" ht="36" customHeight="1">
      <x:c r="B1" s="62" t="str">
        <x:v>DealerOps Sprint 1 — Jackson Warga — AI and Platform</x:v>
      </x:c>
      <x:c r="C1" s="63"/>
      <x:c r="D1" s="63"/>
      <x:c r="E1" s="63"/>
      <x:c r="F1" s="63"/>
      <x:c r="G1" s="63"/>
      <x:c r="H1" s="63"/>
      <x:c r="I1" s="63"/>
      <x:c r="J1" s="63"/>
      <x:c r="K1" s="63"/>
      <x:c r="L1" s="2" t="n"/>
    </x:row>
    <x:row r="2" s="51" customFormat="1" ht="32" customHeight="1">
      <x:c r="B2" s="67" t="str">
        <x:v>Task</x:v>
      </x:c>
      <x:c r="C2" s="67" t="str">
        <x:v>Priority</x:v>
      </x:c>
      <x:c r="D2" s="67" t="str">
        <x:v>Status</x:v>
      </x:c>
      <x:c r="E2" s="68" t="str">
        <x:v>Planned start</x:v>
      </x:c>
      <x:c r="F2" s="68" t="str">
        <x:v>Planned due</x:v>
      </x:c>
      <x:c r="G2" s="68" t="str">
        <x:v>Planned hours</x:v>
      </x:c>
      <x:c r="H2" s="68" t="str">
        <x:v>Actual start</x:v>
      </x:c>
      <x:c r="I2" s="68" t="str">
        <x:v>Actual completion</x:v>
      </x:c>
      <x:c r="J2" s="68" t="str">
        <x:v>Actual hours</x:v>
      </x:c>
      <x:c r="K2" s="69" t="str">
        <x:v>Requirement and evidence notes</x:v>
      </x:c>
    </x:row>
    <x:row r="3" s="51" customFormat="1" ht="64" customHeight="1">
      <x:c r="B3" s="70" t="str">
        <x:v>Review AI provider readiness and secret handling; record a setup checklist without secret values</x:v>
      </x:c>
      <x:c r="C3" s="70" t="str">
        <x:v>High</x:v>
      </x:c>
      <x:c r="D3" s="70" t="str">
        <x:v>Not Started</x:v>
      </x:c>
      <x:c r="E3" s="79" t="n">
        <x:v>46307</x:v>
      </x:c>
      <x:c r="F3" s="79" t="n">
        <x:v>46308</x:v>
      </x:c>
      <x:c r="G3" s="80" t="n">
        <x:v>3</x:v>
      </x:c>
      <x:c r="H3" s="79"/>
      <x:c r="I3" s="79"/>
      <x:c r="J3" s="80"/>
      <x:c r="K3" s="70" t="str">
        <x:v>SEC-04; AI setup notes</x:v>
      </x:c>
    </x:row>
    <x:row r="4" s="51" customFormat="1" ht="64" customHeight="1">
      <x:c r="B4" s="70" t="str">
        <x:v>Run a compliant ad through real AI and inspect notes separately from rule findings</x:v>
      </x:c>
      <x:c r="C4" s="70" t="str">
        <x:v>High</x:v>
      </x:c>
      <x:c r="D4" s="70" t="str">
        <x:v>Not Started</x:v>
      </x:c>
      <x:c r="E4" s="79" t="n">
        <x:v>46309</x:v>
      </x:c>
      <x:c r="F4" s="79" t="n">
        <x:v>46310</x:v>
      </x:c>
      <x:c r="G4" s="80" t="n">
        <x:v>3</x:v>
      </x:c>
      <x:c r="H4" s="79"/>
      <x:c r="I4" s="79"/>
      <x:c r="J4" s="80"/>
      <x:c r="K4" s="70" t="str">
        <x:v>AI-01/02/05 (Should); AD-08; record returned state and screenshot</x:v>
      </x:c>
    </x:row>
    <x:row r="5" s="51" customFormat="1" ht="64" customHeight="1">
      <x:c r="B5" s="70" t="str">
        <x:v>Run a hard-rule-miss ad; record that AI is skipped and the result is Blocked</x:v>
      </x:c>
      <x:c r="C5" s="70" t="str">
        <x:v>High</x:v>
      </x:c>
      <x:c r="D5" s="70" t="str">
        <x:v>Not Started</x:v>
      </x:c>
      <x:c r="E5" s="79" t="n">
        <x:v>46311</x:v>
      </x:c>
      <x:c r="F5" s="79" t="n">
        <x:v>46312</x:v>
      </x:c>
      <x:c r="G5" s="80" t="n">
        <x:v>3</x:v>
      </x:c>
      <x:c r="H5" s="79"/>
      <x:c r="I5" s="79"/>
      <x:c r="J5" s="80"/>
      <x:c r="K5" s="70" t="str">
        <x:v>AD-03/07</x:v>
      </x:c>
    </x:row>
    <x:row r="6" s="51" customFormat="1" ht="64" customHeight="1">
      <x:c r="B6" s="70" t="str">
        <x:v>Walk AI failure behavior; record that no failure produces Passed</x:v>
      </x:c>
      <x:c r="C6" s="70" t="str">
        <x:v>High</x:v>
      </x:c>
      <x:c r="D6" s="70" t="str">
        <x:v>Not Started</x:v>
      </x:c>
      <x:c r="E6" s="79" t="n">
        <x:v>46314</x:v>
      </x:c>
      <x:c r="F6" s="79" t="n">
        <x:v>46315</x:v>
      </x:c>
      <x:c r="G6" s="80" t="n">
        <x:v>3</x:v>
      </x:c>
      <x:c r="H6" s="79"/>
      <x:c r="I6" s="79"/>
      <x:c r="J6" s="80"/>
      <x:c r="K6" s="70" t="str">
        <x:v>AI-02; AD-09</x:v>
      </x:c>
    </x:row>
    <x:row r="7" s="51" customFormat="1" ht="64" customHeight="1">
      <x:c r="B7" s="70" t="str">
        <x:v>Change ad content after a pass; record Stale state and export denial</x:v>
      </x:c>
      <x:c r="C7" s="70" t="str">
        <x:v>High</x:v>
      </x:c>
      <x:c r="D7" s="70" t="str">
        <x:v>Not Started</x:v>
      </x:c>
      <x:c r="E7" s="79" t="n">
        <x:v>46316</x:v>
      </x:c>
      <x:c r="F7" s="79" t="n">
        <x:v>46317</x:v>
      </x:c>
      <x:c r="G7" s="80" t="n">
        <x:v>3</x:v>
      </x:c>
      <x:c r="H7" s="79"/>
      <x:c r="I7" s="79"/>
      <x:c r="J7" s="80"/>
      <x:c r="K7" s="70" t="str">
        <x:v>AD-10/11/12</x:v>
      </x:c>
    </x:row>
    <x:row r="8" s="51" customFormat="1" ht="64" customHeight="1">
      <x:c r="B8" s="70" t="str">
        <x:v>Walk self-registration, pending-account binding and all three sign-in identifiers; record outcomes</x:v>
      </x:c>
      <x:c r="C8" s="70" t="str">
        <x:v>High</x:v>
      </x:c>
      <x:c r="D8" s="70" t="str">
        <x:v>Not Started</x:v>
      </x:c>
      <x:c r="E8" s="79" t="n">
        <x:v>46317</x:v>
      </x:c>
      <x:c r="F8" s="79" t="n">
        <x:v>46318</x:v>
      </x:c>
      <x:c r="G8" s="80" t="n">
        <x:v>3</x:v>
      </x:c>
      <x:c r="H8" s="79"/>
      <x:c r="I8" s="79"/>
      <x:c r="J8" s="80"/>
      <x:c r="K8" s="70" t="str">
        <x:v>EXT-05–07; AUTH-16–22; Jira pass/fail evidence per scenario</x:v>
      </x:c>
    </x:row>
    <x:row r="9" s="51" customFormat="1" ht="64" customHeight="1">
      <x:c r="B9" s="70" t="str">
        <x:v>Ask scoped assistant questions; record permitted cards and fallback outcomes</x:v>
      </x:c>
      <x:c r="C9" s="70" t="str">
        <x:v>High</x:v>
      </x:c>
      <x:c r="D9" s="70" t="str">
        <x:v>Not Started</x:v>
      </x:c>
      <x:c r="E9" s="79" t="n">
        <x:v>46318</x:v>
      </x:c>
      <x:c r="F9" s="79" t="n">
        <x:v>46319</x:v>
      </x:c>
      <x:c r="G9" s="80" t="n">
        <x:v>3</x:v>
      </x:c>
      <x:c r="H9" s="79"/>
      <x:c r="I9" s="79"/>
      <x:c r="J9" s="80"/>
      <x:c r="K9" s="70" t="str">
        <x:v>AI-03/04</x:v>
      </x:c>
    </x:row>
    <x:row r="10" s="51" customFormat="1" ht="64" customHeight="1">
      <x:c r="B10" s="70" t="str">
        <x:v>Review ad and assistant contexts; record absence of costs and customer contact data</x:v>
      </x:c>
      <x:c r="C10" s="70" t="str">
        <x:v>High</x:v>
      </x:c>
      <x:c r="D10" s="70" t="str">
        <x:v>Not Started</x:v>
      </x:c>
      <x:c r="E10" s="79" t="n">
        <x:v>46321</x:v>
      </x:c>
      <x:c r="F10" s="79" t="n">
        <x:v>46322</x:v>
      </x:c>
      <x:c r="G10" s="80" t="n">
        <x:v>3</x:v>
      </x:c>
      <x:c r="H10" s="79"/>
      <x:c r="I10" s="79"/>
      <x:c r="J10" s="80"/>
      <x:c r="K10" s="70" t="str">
        <x:v>AI-04; SEC-07</x:v>
      </x:c>
    </x:row>
    <x:row r="11" s="51" customFormat="1" ht="64" customHeight="1">
      <x:c r="B11" s="70" t="str">
        <x:v>Update provider and startup notes against actual configuration; link reviewed changes</x:v>
      </x:c>
      <x:c r="C11" s="70" t="str">
        <x:v>High</x:v>
      </x:c>
      <x:c r="D11" s="70" t="str">
        <x:v>Not Started</x:v>
      </x:c>
      <x:c r="E11" s="79" t="n">
        <x:v>46323</x:v>
      </x:c>
      <x:c r="F11" s="79" t="n">
        <x:v>46324</x:v>
      </x:c>
      <x:c r="G11" s="80" t="n">
        <x:v>3</x:v>
      </x:c>
      <x:c r="H11" s="79"/>
      <x:c r="I11" s="79"/>
      <x:c r="J11" s="80"/>
      <x:c r="K11" s="70" t="str">
        <x:v>README; ai-service notes</x:v>
      </x:c>
    </x:row>
    <x:row r="12" s="51" customFormat="1" ht="64" customHeight="1">
      <x:c r="B12" s="75" t="str">
        <x:v>Update and publish separate Research and AI Logs in the team site; submit sprint AI evidence</x:v>
      </x:c>
      <x:c r="C12" s="75" t="str">
        <x:v>Normal</x:v>
      </x:c>
      <x:c r="D12" s="75" t="str">
        <x:v>Not Started</x:v>
      </x:c>
      <x:c r="E12" s="86" t="n">
        <x:v>46325</x:v>
      </x:c>
      <x:c r="F12" s="86" t="n">
        <x:v>46326</x:v>
      </x:c>
      <x:c r="G12" s="84" t="n">
        <x:v>3</x:v>
      </x:c>
      <x:c r="H12" s="86"/>
      <x:c r="I12" s="86"/>
      <x:c r="J12" s="84"/>
      <x:c r="K12" s="75" t="str">
        <x:v>Research-Log.md; AI-Log.md; record real URL and member contributions</x:v>
      </x:c>
    </x:row>
    <x:row r="13" s="51" customFormat="1" ht="25" customHeight="1">
      <x:c r="A13" s="27" t="n"/>
      <x:c r="B13" s="96" t="str">
        <x:v>Planned hours total</x:v>
      </x:c>
      <x:c r="C13" s="96"/>
      <x:c r="D13" s="96"/>
      <x:c r="E13" s="97"/>
      <x:c r="F13" s="97"/>
      <x:c r="G13" s="98" t="n">
        <x:f>SUM(G3:G12)</x:f>
        <x:v>30</x:v>
      </x:c>
      <x:c r="H13" s="97"/>
      <x:c r="I13" s="97"/>
      <x:c r="J13" s="98"/>
      <x:c r="K13" s="99"/>
    </x:row>
    <x:row r="14" s="51" customFormat="1" ht="1" customHeight="1">
      <x:c r="A14" s="32" t="n"/>
      <x:c r="B14" s="33"/>
      <x:c r="C14" s="33"/>
      <x:c r="D14" s="33"/>
      <x:c r="E14" s="88"/>
      <x:c r="F14" s="88"/>
      <x:c r="G14" s="90"/>
      <x:c r="H14" s="88"/>
      <x:c r="I14" s="88"/>
      <x:c r="J14" s="90"/>
      <x:c r="K14" s="36"/>
    </x:row>
    <x:row r="15" s="51" customFormat="1" ht="1" customHeight="1">
      <x:c r="A15" s="37" t="n"/>
      <x:c r="B15" s="38"/>
      <x:c r="C15" s="38"/>
      <x:c r="D15" s="38"/>
      <x:c r="E15" s="39"/>
      <x:c r="F15" s="39"/>
      <x:c r="G15" s="91"/>
      <x:c r="H15" s="39"/>
      <x:c r="I15" s="39"/>
      <x:c r="J15" s="40"/>
      <x:c r="K15" s="41"/>
    </x:row>
    <x:row r="17" ht="24" customHeight="1">
      <x:c r="B17" s="100" t="str">
        <x:v>Sprint 1: Oct 12–Nov 1, 2026. Ten tasks × 3 hours = 30 hours per member. Due dates are the day after the planned start.</x:v>
      </x:c>
      <x:c r="C17" s="100"/>
      <x:c r="D17" s="100"/>
      <x:c r="E17" s="100"/>
      <x:c r="F17" s="100"/>
      <x:c r="G17" s="100"/>
      <x:c r="H17" s="100"/>
      <x:c r="I17" s="100"/>
      <x:c r="J17" s="100"/>
      <x:c r="K17" s="100"/>
    </x:row>
    <x:row r="18" ht="24" customHeight="1">
      <x:c r="B18" s="100" t="str">
        <x:v>Update actual dates, hours and status only after work occurs. Add Jira / evidence links to Notes. Split tasks over 3 hours and replan carryover.</x:v>
      </x:c>
      <x:c r="C18" s="100"/>
      <x:c r="D18" s="100"/>
      <x:c r="E18" s="100"/>
      <x:c r="F18" s="100"/>
      <x:c r="G18" s="100"/>
      <x:c r="H18" s="100"/>
      <x:c r="I18" s="100"/>
      <x:c r="J18" s="100"/>
      <x:c r="K18" s="100"/>
    </x:row>
  </x:sheetData>
  <x:mergeCells>
    <x:mergeCell ref="B1:K1"/>
    <x:mergeCell ref="B17:K17"/>
    <x:mergeCell ref="B18:K18"/>
  </x:mergeCells>
  <x:conditionalFormatting sqref="B3:K15">
    <x:cfRule type="expression" dxfId="2" priority="11">
      <x:formula>AND(#REF!=0,#REF!&lt;&gt;"")</x:formula>
    </x:cfRule>
  </x:conditionalFormatting>
  <x:dataValidations count="9">
    <x:dataValidation allowBlank="1" showDropDown="0" showInputMessage="1" showErrorMessage="1" prompt="Enter Due Date in this column under this heading" sqref="F2:H2 J2"/>
    <x:dataValidation allowBlank="1" showDropDown="0" showInputMessage="1" showErrorMessage="1" prompt="Enter Notes in this column under this heading" sqref="K2"/>
    <x:dataValidation allowBlank="1" showDropDown="0" showInputMessage="1" showErrorMessage="1" prompt="Icon indicator for task completion in this column under this heading is automatically updated as tasks complete" sqref="I2:J2"/>
    <x:dataValidation allowBlank="1" showDropDown="0" showInputMessage="1" showErrorMessage="1" prompt="Enter Start Date in this column under this heading" sqref="E2"/>
    <x:dataValidation allowBlank="1" showDropDown="0" showInputMessage="1" showErrorMessage="1" prompt="Select Status in this column under this heading.  Press ALT+DOWN ARROW to open the drop-down list, then ENTER to make selection" sqref="D2"/>
    <x:dataValidation allowBlank="1" showDropDown="0" showInputMessage="1" showErrorMessage="1" prompt="Select Priority in this column under this heading. Press ALT+DOWN ARROW to open the drop-down list, then ENTER to make selection" sqref="C2"/>
    <x:dataValidation allowBlank="1" showDropDown="0" showInputMessage="1" showErrorMessage="1" prompt="Enter Task in this column under this heading. Use heading filters to find specific entries" sqref="B2"/>
    <x:dataValidation allowBlank="1" showDropDown="0" showInputMessage="1" showErrorMessage="1" prompt="Worksheet title is in this cell" sqref="B1"/>
    <x:dataValidation allowBlank="1" showDropDown="0" showInputMessage="1" showErrorMessage="1" prompt="Create a To-do list with progress tracker in this worksheet" sqref="A1"/>
  </x:dataValidations>
  <x:pageMargins left="0.7" right="0.7" top="0.75" bottom="0.75" header="0.3" footer="0.3"/>
  <x:tableParts count="1">
    <x:tablePart xmlns:r="http://schemas.openxmlformats.org/officeDocument/2006/relationships" r:id="Rf47a1d3067694db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2" max="2" width="60" style="51" hidden="0" customWidth="1"/>
    <x:col min="3" max="3" width="15" style="51" hidden="0" customWidth="1"/>
    <x:col min="4" max="4" width="15" style="51" hidden="0" customWidth="1"/>
    <x:col min="5" max="5" width="15" style="51" hidden="0" customWidth="1"/>
    <x:col min="6" max="6" width="15" style="51" hidden="0" customWidth="1"/>
    <x:col min="7" max="7" width="12" style="51" hidden="0" customWidth="1"/>
    <x:col min="8" max="8" width="16" style="51" hidden="0" customWidth="1"/>
    <x:col min="9" max="9" width="16" style="51" hidden="0" customWidth="1"/>
    <x:col min="10" max="10" width="12" style="51" hidden="0" customWidth="1"/>
    <x:col min="11" max="11" width="60" style="51" hidden="0" customWidth="1"/>
  </x:cols>
  <x:sheetData>
    <x:row r="1" s="51" customFormat="1" ht="36" customHeight="1">
      <x:c r="A1" s="33" t="n"/>
      <x:c r="B1" s="105" t="str">
        <x:v>DealerOps Sprint 1 — Logan Jones — Gateway and Core</x:v>
      </x:c>
      <x:c r="C1" s="106"/>
      <x:c r="D1" s="106"/>
      <x:c r="E1" s="106"/>
      <x:c r="F1" s="106"/>
      <x:c r="G1" s="106"/>
      <x:c r="H1" s="106"/>
      <x:c r="I1" s="106"/>
      <x:c r="J1" s="106"/>
      <x:c r="K1" s="106"/>
    </x:row>
    <x:row r="2" s="51" customFormat="1" ht="32" customHeight="1">
      <x:c r="A2" s="33" t="n"/>
      <x:c r="B2" s="109" t="str">
        <x:v>Task</x:v>
      </x:c>
      <x:c r="C2" s="109" t="str">
        <x:v>Priority</x:v>
      </x:c>
      <x:c r="D2" s="109" t="str">
        <x:v>Status</x:v>
      </x:c>
      <x:c r="E2" s="109" t="str">
        <x:v>Planned start</x:v>
      </x:c>
      <x:c r="F2" s="109" t="str">
        <x:v>Planned due</x:v>
      </x:c>
      <x:c r="G2" s="109" t="str">
        <x:v>Planned hours</x:v>
      </x:c>
      <x:c r="H2" s="109" t="str">
        <x:v>Actual start</x:v>
      </x:c>
      <x:c r="I2" s="109" t="str">
        <x:v>Actual completion</x:v>
      </x:c>
      <x:c r="J2" s="109" t="str">
        <x:v>Actual hours</x:v>
      </x:c>
      <x:c r="K2" s="110" t="str">
        <x:v>Requirement and evidence notes</x:v>
      </x:c>
    </x:row>
    <x:row r="3" s="51" customFormat="1" ht="64" customHeight="1">
      <x:c r="A3" s="33" t="n"/>
      <x:c r="B3" s="70" t="str">
        <x:v>Review login, JWT and membership flows; record manual walkthrough steps</x:v>
      </x:c>
      <x:c r="C3" s="70" t="str">
        <x:v>High</x:v>
      </x:c>
      <x:c r="D3" s="70" t="str">
        <x:v>Not Started</x:v>
      </x:c>
      <x:c r="E3" s="111" t="n">
        <x:v>46307</x:v>
      </x:c>
      <x:c r="F3" s="111" t="n">
        <x:v>46308</x:v>
      </x:c>
      <x:c r="G3" s="112" t="n">
        <x:v>3</x:v>
      </x:c>
      <x:c r="H3" s="111"/>
      <x:c r="I3" s="111"/>
      <x:c r="J3" s="112"/>
      <x:c r="K3" s="70" t="str">
        <x:v>AUTH-01/03/07/08/09/12; AUTH-16–22</x:v>
      </x:c>
    </x:row>
    <x:row r="4" s="51" customFormat="1" ht="64" customHeight="1">
      <x:c r="A4" s="33" t="n"/>
      <x:c r="B4" s="70" t="str">
        <x:v>Walk two-dealership and Admin denial scenarios; record status codes and outcomes</x:v>
      </x:c>
      <x:c r="C4" s="70" t="str">
        <x:v>High</x:v>
      </x:c>
      <x:c r="D4" s="70" t="str">
        <x:v>Not Started</x:v>
      </x:c>
      <x:c r="E4" s="111" t="n">
        <x:v>46309</x:v>
      </x:c>
      <x:c r="F4" s="111" t="n">
        <x:v>46310</x:v>
      </x:c>
      <x:c r="G4" s="112" t="n">
        <x:v>3</x:v>
      </x:c>
      <x:c r="H4" s="111"/>
      <x:c r="I4" s="111"/>
      <x:c r="J4" s="112"/>
      <x:c r="K4" s="70" t="str">
        <x:v>AUTH-06/07/08/09; demo data prepared Oct 12; record denial status codes</x:v>
      </x:c>
    </x:row>
    <x:row r="5" s="51" customFormat="1" ht="64" customHeight="1">
      <x:c r="A5" s="33" t="n"/>
      <x:c r="B5" s="70" t="str">
        <x:v>Walk vehicle create, update and sale rules; attach observed API outcomes</x:v>
      </x:c>
      <x:c r="C5" s="70" t="str">
        <x:v>High</x:v>
      </x:c>
      <x:c r="D5" s="70" t="str">
        <x:v>Not Started</x:v>
      </x:c>
      <x:c r="E5" s="111" t="n">
        <x:v>46311</x:v>
      </x:c>
      <x:c r="F5" s="111" t="n">
        <x:v>46312</x:v>
      </x:c>
      <x:c r="G5" s="112" t="n">
        <x:v>3</x:v>
      </x:c>
      <x:c r="H5" s="111"/>
      <x:c r="I5" s="111"/>
      <x:c r="J5" s="112"/>
      <x:c r="K5" s="70" t="str">
        <x:v>DMS-01/03/10/11</x:v>
      </x:c>
    </x:row>
    <x:row r="6" s="51" customFormat="1" ht="64" customHeight="1">
      <x:c r="A6" s="33" t="n"/>
      <x:c r="B6" s="70" t="str">
        <x:v>Walk customer and vehicle-link flows; record dealership-scope outcomes</x:v>
      </x:c>
      <x:c r="C6" s="70" t="str">
        <x:v>High</x:v>
      </x:c>
      <x:c r="D6" s="70" t="str">
        <x:v>Not Started</x:v>
      </x:c>
      <x:c r="E6" s="111" t="n">
        <x:v>46314</x:v>
      </x:c>
      <x:c r="F6" s="111" t="n">
        <x:v>46315</x:v>
      </x:c>
      <x:c r="G6" s="112" t="n">
        <x:v>3</x:v>
      </x:c>
      <x:c r="H6" s="111"/>
      <x:c r="I6" s="111"/>
      <x:c r="J6" s="112"/>
      <x:c r="K6" s="70" t="str">
        <x:v>CRM-05/06/08/09</x:v>
      </x:c>
    </x:row>
    <x:row r="7" s="51" customFormat="1" ht="64" customHeight="1">
      <x:c r="A7" s="33" t="n"/>
      <x:c r="B7" s="70" t="str">
        <x:v>Review audit actor, action, time and changed-field summary with masked customer contacts</x:v>
      </x:c>
      <x:c r="C7" s="70" t="str">
        <x:v>High</x:v>
      </x:c>
      <x:c r="D7" s="70" t="str">
        <x:v>Not Started</x:v>
      </x:c>
      <x:c r="E7" s="111" t="n">
        <x:v>46316</x:v>
      </x:c>
      <x:c r="F7" s="111" t="n">
        <x:v>46317</x:v>
      </x:c>
      <x:c r="G7" s="112" t="n">
        <x:v>3</x:v>
      </x:c>
      <x:c r="H7" s="111"/>
      <x:c r="I7" s="111"/>
      <x:c r="J7" s="112"/>
      <x:c r="K7" s="70" t="str">
        <x:v>AUD-01/02/03/05/06; AUD-04 (Should); record example outcomes</x:v>
      </x:c>
    </x:row>
    <x:row r="8" s="51" customFormat="1" ht="64" customHeight="1">
      <x:c r="A8" s="33" t="n"/>
      <x:c r="B8" s="70" t="str">
        <x:v>Walk lead follow-up and work-order rules across two dealerships, including costs and sale gate</x:v>
      </x:c>
      <x:c r="C8" s="70" t="str">
        <x:v>High</x:v>
      </x:c>
      <x:c r="D8" s="70" t="str">
        <x:v>Not Started</x:v>
      </x:c>
      <x:c r="E8" s="111" t="n">
        <x:v>46317</x:v>
      </x:c>
      <x:c r="F8" s="111" t="n">
        <x:v>46318</x:v>
      </x:c>
      <x:c r="G8" s="112" t="n">
        <x:v>3</x:v>
      </x:c>
      <x:c r="H8" s="111"/>
      <x:c r="I8" s="111"/>
      <x:c r="J8" s="112"/>
      <x:c r="K8" s="70" t="str">
        <x:v>EXT-02–04; LEAD-01–09; WO-01–07; per-scenario outcomes and defects</x:v>
      </x:c>
    </x:row>
    <x:row r="9" s="51" customFormat="1" ht="64" customHeight="1">
      <x:c r="A9" s="33" t="n"/>
      <x:c r="B9" s="70" t="str">
        <x:v>Walk public and internal routes; record Gateway bypass denial and allowed public routes</x:v>
      </x:c>
      <x:c r="C9" s="70" t="str">
        <x:v>High</x:v>
      </x:c>
      <x:c r="D9" s="70" t="str">
        <x:v>Not Started</x:v>
      </x:c>
      <x:c r="E9" s="111" t="n">
        <x:v>46318</x:v>
      </x:c>
      <x:c r="F9" s="111" t="n">
        <x:v>46319</x:v>
      </x:c>
      <x:c r="G9" s="112" t="n">
        <x:v>3</x:v>
      </x:c>
      <x:c r="H9" s="111"/>
      <x:c r="I9" s="111"/>
      <x:c r="J9" s="112"/>
      <x:c r="K9" s="70" t="str">
        <x:v>ARC-03; login/register/VIN exceptions</x:v>
      </x:c>
    </x:row>
    <x:row r="10" s="51" customFormat="1" ht="64" customHeight="1">
      <x:c r="A10" s="33" t="n"/>
      <x:c r="B10" s="70" t="str">
        <x:v>Compare core and extension API behavior with OpenAPI; list contract discrepancies</x:v>
      </x:c>
      <x:c r="C10" s="70" t="str">
        <x:v>High</x:v>
      </x:c>
      <x:c r="D10" s="70" t="str">
        <x:v>Not Started</x:v>
      </x:c>
      <x:c r="E10" s="111" t="n">
        <x:v>46321</x:v>
      </x:c>
      <x:c r="F10" s="111" t="n">
        <x:v>46322</x:v>
      </x:c>
      <x:c r="G10" s="112" t="n">
        <x:v>3</x:v>
      </x:c>
      <x:c r="H10" s="111"/>
      <x:c r="I10" s="111"/>
      <x:c r="J10" s="112"/>
      <x:c r="K10" s="70" t="str">
        <x:v>ARC-06; dealer-platform/openapi.yaml</x:v>
      </x:c>
    </x:row>
    <x:row r="11" s="51" customFormat="1" ht="64" customHeight="1">
      <x:c r="A11" s="33" t="n"/>
      <x:c r="B11" s="70" t="str">
        <x:v>Review Terraform variables and deployment settings; record secret-handling findings</x:v>
      </x:c>
      <x:c r="C11" s="70" t="str">
        <x:v>High</x:v>
      </x:c>
      <x:c r="D11" s="70" t="str">
        <x:v>Not Started</x:v>
      </x:c>
      <x:c r="E11" s="111" t="n">
        <x:v>46323</x:v>
      </x:c>
      <x:c r="F11" s="111" t="n">
        <x:v>46324</x:v>
      </x:c>
      <x:c r="G11" s="112" t="n">
        <x:v>3</x:v>
      </x:c>
      <x:c r="H11" s="111"/>
      <x:c r="I11" s="111"/>
      <x:c r="J11" s="112"/>
      <x:c r="K11" s="70" t="str">
        <x:v>ARC-07; SEC-03/04</x:v>
      </x:c>
    </x:row>
    <x:row r="12" s="51" customFormat="1" ht="64" customHeight="1">
      <x:c r="A12" s="33" t="n"/>
      <x:c r="B12" s="75" t="str">
        <x:v>Consolidate manual outcomes, blockers and deployment readiness; link evidence</x:v>
      </x:c>
      <x:c r="C12" s="75" t="str">
        <x:v>Normal</x:v>
      </x:c>
      <x:c r="D12" s="75" t="str">
        <x:v>Not Started</x:v>
      </x:c>
      <x:c r="E12" s="114" t="n">
        <x:v>46325</x:v>
      </x:c>
      <x:c r="F12" s="114" t="n">
        <x:v>46326</x:v>
      </x:c>
      <x:c r="G12" s="113" t="n">
        <x:v>3</x:v>
      </x:c>
      <x:c r="H12" s="114"/>
      <x:c r="I12" s="114"/>
      <x:c r="J12" s="113"/>
      <x:c r="K12" s="75" t="str">
        <x:v>Select defects for carryover with owner and due date</x:v>
      </x:c>
    </x:row>
    <x:row r="13" s="51" customFormat="1" ht="25" customHeight="1">
      <x:c r="A13" s="27" t="n"/>
      <x:c r="B13" s="96" t="str">
        <x:v>Planned hours total</x:v>
      </x:c>
      <x:c r="C13" s="96"/>
      <x:c r="D13" s="96"/>
      <x:c r="E13" s="122"/>
      <x:c r="F13" s="122"/>
      <x:c r="G13" s="123" t="n">
        <x:f>SUM(G3:G12)</x:f>
        <x:v>30</x:v>
      </x:c>
      <x:c r="H13" s="122"/>
      <x:c r="I13" s="122"/>
      <x:c r="J13" s="123"/>
      <x:c r="K13" s="99"/>
    </x:row>
    <x:row r="14" s="51" customFormat="1" ht="1" customHeight="1">
      <x:c r="A14" s="32" t="n"/>
      <x:c r="B14" s="33"/>
      <x:c r="C14" s="33"/>
      <x:c r="D14" s="33"/>
      <x:c r="E14" s="116"/>
      <x:c r="F14" s="116"/>
      <x:c r="G14" s="118"/>
      <x:c r="H14" s="116"/>
      <x:c r="I14" s="116"/>
      <x:c r="J14" s="118"/>
      <x:c r="K14" s="36"/>
    </x:row>
    <x:row r="15" s="51" customFormat="1" ht="1" customHeight="1">
      <x:c r="A15" s="37" t="n"/>
      <x:c r="B15" s="38"/>
      <x:c r="C15" s="38"/>
      <x:c r="D15" s="38"/>
      <x:c r="E15" s="38"/>
      <x:c r="F15" s="38"/>
      <x:c r="G15" s="119"/>
      <x:c r="H15" s="38"/>
      <x:c r="I15" s="38"/>
      <x:c r="J15" s="38"/>
      <x:c r="K15" s="41"/>
    </x:row>
    <x:row r="17" ht="24" customHeight="1">
      <x:c r="B17" s="100" t="str">
        <x:v>Sprint 1: Oct 12–Nov 1, 2026. Ten tasks × 3 hours = 30 hours per member. Due dates are the day after the planned start.</x:v>
      </x:c>
      <x:c r="C17" s="100"/>
      <x:c r="D17" s="100"/>
      <x:c r="E17" s="100"/>
      <x:c r="F17" s="100"/>
      <x:c r="G17" s="100"/>
      <x:c r="H17" s="100"/>
      <x:c r="I17" s="100"/>
      <x:c r="J17" s="100"/>
      <x:c r="K17" s="100"/>
    </x:row>
    <x:row r="18" ht="24" customHeight="1">
      <x:c r="B18" s="100" t="str">
        <x:v>Update actual dates, hours and status only after work occurs. Add Jira / evidence links to Notes. Split tasks over 3 hours and replan carryover.</x:v>
      </x:c>
      <x:c r="C18" s="100"/>
      <x:c r="D18" s="100"/>
      <x:c r="E18" s="100"/>
      <x:c r="F18" s="100"/>
      <x:c r="G18" s="100"/>
      <x:c r="H18" s="100"/>
      <x:c r="I18" s="100"/>
      <x:c r="J18" s="100"/>
      <x:c r="K18" s="100"/>
    </x:row>
  </x:sheetData>
  <x:mergeCells>
    <x:mergeCell ref="B1:K1"/>
    <x:mergeCell ref="B17:K17"/>
    <x:mergeCell ref="B18:K18"/>
  </x:mergeCells>
  <x:pageMargins left="0.7" right="0.7" top="0.75" bottom="0.75" header="0.3" footer="0.3"/>
  <x:tableParts count="1">
    <x:tablePart xmlns:r="http://schemas.openxmlformats.org/officeDocument/2006/relationships" r:id="Re9f080f606964d5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2" max="2" width="60" style="51" hidden="0" customWidth="1"/>
    <x:col min="3" max="3" width="15" style="51" hidden="0" customWidth="1"/>
    <x:col min="4" max="4" width="15" style="51" hidden="0" customWidth="1"/>
    <x:col min="5" max="5" width="15" style="51" hidden="0" customWidth="1"/>
    <x:col min="6" max="6" width="15" style="51" hidden="0" customWidth="1"/>
    <x:col min="7" max="7" width="12" style="51" hidden="0" customWidth="1"/>
    <x:col min="8" max="8" width="16" style="51" hidden="0" customWidth="1"/>
    <x:col min="9" max="9" width="16" style="51" hidden="0" customWidth="1"/>
    <x:col min="10" max="10" width="12" style="51" hidden="0" customWidth="1"/>
    <x:col min="11" max="11" width="60" style="51" hidden="0" customWidth="1"/>
  </x:cols>
  <x:sheetData>
    <x:row r="1" s="51" customFormat="1" ht="36" customHeight="1">
      <x:c r="A1" s="33" t="n"/>
      <x:c r="B1" s="105" t="str">
        <x:v>DealerOps Sprint 1 — Yuandong Yang — Full Stack Lead</x:v>
      </x:c>
      <x:c r="C1" s="106"/>
      <x:c r="D1" s="106"/>
      <x:c r="E1" s="106"/>
      <x:c r="F1" s="106"/>
      <x:c r="G1" s="106"/>
      <x:c r="H1" s="106"/>
      <x:c r="I1" s="106"/>
      <x:c r="J1" s="106"/>
      <x:c r="K1" s="106"/>
    </x:row>
    <x:row r="2" s="51" customFormat="1" ht="32" customHeight="1">
      <x:c r="A2" s="33" t="n"/>
      <x:c r="B2" s="109" t="str">
        <x:v>Task</x:v>
      </x:c>
      <x:c r="C2" s="109" t="str">
        <x:v>Priority</x:v>
      </x:c>
      <x:c r="D2" s="109" t="str">
        <x:v>Status</x:v>
      </x:c>
      <x:c r="E2" s="109" t="str">
        <x:v>Planned start</x:v>
      </x:c>
      <x:c r="F2" s="109" t="str">
        <x:v>Planned due</x:v>
      </x:c>
      <x:c r="G2" s="109" t="str">
        <x:v>Planned hours</x:v>
      </x:c>
      <x:c r="H2" s="109" t="str">
        <x:v>Actual start</x:v>
      </x:c>
      <x:c r="I2" s="109" t="str">
        <x:v>Actual completion</x:v>
      </x:c>
      <x:c r="J2" s="109" t="str">
        <x:v>Actual hours</x:v>
      </x:c>
      <x:c r="K2" s="110" t="str">
        <x:v>Requirement and evidence notes</x:v>
      </x:c>
    </x:row>
    <x:row r="3" s="51" customFormat="1" ht="64" customHeight="1">
      <x:c r="A3" s="33" t="n"/>
      <x:c r="B3" s="70" t="str">
        <x:v>Seed two-dealership demo data and document repeatable setup before the first walkthrough</x:v>
      </x:c>
      <x:c r="C3" s="70" t="str">
        <x:v>High</x:v>
      </x:c>
      <x:c r="D3" s="70" t="str">
        <x:v>Not Started</x:v>
      </x:c>
      <x:c r="E3" s="111" t="n">
        <x:v>46307</x:v>
      </x:c>
      <x:c r="F3" s="111" t="n">
        <x:v>46308</x:v>
      </x:c>
      <x:c r="G3" s="112" t="n">
        <x:v>3</x:v>
      </x:c>
      <x:c r="H3" s="111"/>
      <x:c r="I3" s="111"/>
      <x:c r="J3" s="112"/>
      <x:c r="K3" s="70" t="str">
        <x:v>AUTH-06/07; setup notes and demo records; no real customer data</x:v>
      </x:c>
    </x:row>
    <x:row r="4" s="51" customFormat="1" ht="64" customHeight="1">
      <x:c r="A4" s="33" t="n"/>
      <x:c r="B4" s="70" t="str">
        <x:v>Create Jira cards; request scope and NN-05 confirmation; record submission deadlines and backlog links</x:v>
      </x:c>
      <x:c r="C4" s="70" t="str">
        <x:v>High</x:v>
      </x:c>
      <x:c r="D4" s="70" t="str">
        <x:v>Not Started</x:v>
      </x:c>
      <x:c r="E4" s="111" t="n">
        <x:v>46309</x:v>
      </x:c>
      <x:c r="F4" s="111" t="n">
        <x:v>46310</x:v>
      </x:c>
      <x:c r="G4" s="112" t="n">
        <x:v>3</x:v>
      </x:c>
      <x:c r="H4" s="111"/>
      <x:c r="I4" s="111"/>
      <x:c r="J4" s="112"/>
      <x:c r="K4" s="70" t="str">
        <x:v>IDs, owners, evidence fields; request student IDs; retain unconfirmed items as pending</x:v>
      </x:c>
    </x:row>
    <x:row r="5" s="51" customFormat="1" ht="64" customHeight="1">
      <x:c r="A5" s="33" t="n"/>
      <x:c r="B5" s="70" t="str">
        <x:v>Review and merge ready team pull requests; record requirement and review evidence</x:v>
      </x:c>
      <x:c r="C5" s="70" t="str">
        <x:v>High</x:v>
      </x:c>
      <x:c r="D5" s="70" t="str">
        <x:v>Not Started</x:v>
      </x:c>
      <x:c r="E5" s="111" t="n">
        <x:v>46311</x:v>
      </x:c>
      <x:c r="F5" s="111" t="n">
        <x:v>46312</x:v>
      </x:c>
      <x:c r="G5" s="112" t="n">
        <x:v>3</x:v>
      </x:c>
      <x:c r="H5" s="111"/>
      <x:c r="I5" s="111"/>
      <x:c r="J5" s="112"/>
      <x:c r="K5" s="70" t="str">
        <x:v>List actual PR links; document blockers when no PR is ready</x:v>
      </x:c>
    </x:row>
    <x:row r="6" s="51" customFormat="1" ht="64" customHeight="1">
      <x:c r="A6" s="33" t="n"/>
      <x:c r="B6" s="70" t="str">
        <x:v>Fix one prioritized login or membership defect, or record acceptance rechecks</x:v>
      </x:c>
      <x:c r="C6" s="70" t="str">
        <x:v>High</x:v>
      </x:c>
      <x:c r="D6" s="70" t="str">
        <x:v>Not Started</x:v>
      </x:c>
      <x:c r="E6" s="111" t="n">
        <x:v>46314</x:v>
      </x:c>
      <x:c r="F6" s="111" t="n">
        <x:v>46315</x:v>
      </x:c>
      <x:c r="G6" s="112" t="n">
        <x:v>3</x:v>
      </x:c>
      <x:c r="H6" s="111"/>
      <x:c r="I6" s="111"/>
      <x:c r="J6" s="112"/>
      <x:c r="K6" s="70" t="str">
        <x:v>Choose Jira ID first; link change and observed result; timebox 3 hours</x:v>
      </x:c>
    </x:row>
    <x:row r="7" s="51" customFormat="1" ht="64" customHeight="1">
      <x:c r="A7" s="33" t="n"/>
      <x:c r="B7" s="70" t="str">
        <x:v>Run Terraform validate and plan; record reviewed variables and apply/teardown checklist</x:v>
      </x:c>
      <x:c r="C7" s="70" t="str">
        <x:v>High</x:v>
      </x:c>
      <x:c r="D7" s="70" t="str">
        <x:v>Not Started</x:v>
      </x:c>
      <x:c r="E7" s="111" t="n">
        <x:v>46316</x:v>
      </x:c>
      <x:c r="F7" s="111" t="n">
        <x:v>46317</x:v>
      </x:c>
      <x:c r="G7" s="112" t="n">
        <x:v>3</x:v>
      </x:c>
      <x:c r="H7" s="111"/>
      <x:c r="I7" s="111"/>
      <x:c r="J7" s="112"/>
      <x:c r="K7" s="70" t="str">
        <x:v>ARC-07; SEC-03/04; no deployment is implied</x:v>
      </x:c>
    </x:row>
    <x:row r="8" s="51" customFormat="1" ht="64" customHeight="1">
      <x:c r="A8" s="33" t="n"/>
      <x:c r="B8" s="70" t="str">
        <x:v>Fix one prioritized DMS or CRM defect, or record acceptance rechecks</x:v>
      </x:c>
      <x:c r="C8" s="70" t="str">
        <x:v>High</x:v>
      </x:c>
      <x:c r="D8" s="70" t="str">
        <x:v>Not Started</x:v>
      </x:c>
      <x:c r="E8" s="111" t="n">
        <x:v>46318</x:v>
      </x:c>
      <x:c r="F8" s="111" t="n">
        <x:v>46319</x:v>
      </x:c>
      <x:c r="G8" s="112" t="n">
        <x:v>3</x:v>
      </x:c>
      <x:c r="H8" s="111"/>
      <x:c r="I8" s="111"/>
      <x:c r="J8" s="112"/>
      <x:c r="K8" s="70" t="str">
        <x:v>Choose Jira ID first; split remaining work; DMS/CRM requirements</x:v>
      </x:c>
    </x:row>
    <x:row r="9" s="51" customFormat="1" ht="64" customHeight="1">
      <x:c r="A9" s="33" t="n"/>
      <x:c r="B9" s="70" t="str">
        <x:v>Check all five main-branch workflows; record run links and any failed or missing run</x:v>
      </x:c>
      <x:c r="C9" s="70" t="str">
        <x:v>High</x:v>
      </x:c>
      <x:c r="D9" s="70" t="str">
        <x:v>Not Started</x:v>
      </x:c>
      <x:c r="E9" s="111" t="n">
        <x:v>46321</x:v>
      </x:c>
      <x:c r="F9" s="111" t="n">
        <x:v>46322</x:v>
      </x:c>
      <x:c r="G9" s="112" t="n">
        <x:v>3</x:v>
      </x:c>
      <x:c r="H9" s="111"/>
      <x:c r="I9" s="111"/>
      <x:c r="J9" s="112"/>
      <x:c r="K9" s="70" t="str">
        <x:v>ARC-04; record actual results rather than assume success</x:v>
      </x:c>
    </x:row>
    <x:row r="10" s="51" customFormat="1" ht="64" customHeight="1">
      <x:c r="A10" s="33" t="n"/>
      <x:c r="B10" s="70" t="str">
        <x:v>Triage extension findings; fix one prioritized issue or record rechecks and carryover</x:v>
      </x:c>
      <x:c r="C10" s="70" t="str">
        <x:v>High</x:v>
      </x:c>
      <x:c r="D10" s="70" t="str">
        <x:v>Not Started</x:v>
      </x:c>
      <x:c r="E10" s="111" t="n">
        <x:v>46322</x:v>
      </x:c>
      <x:c r="F10" s="111" t="n">
        <x:v>46323</x:v>
      </x:c>
      <x:c r="G10" s="112" t="n">
        <x:v>3</x:v>
      </x:c>
      <x:c r="H10" s="111"/>
      <x:c r="I10" s="111"/>
      <x:c r="J10" s="112"/>
      <x:c r="K10" s="70" t="str">
        <x:v>VIN/LEAD/WO/AUTH/IMG; explicit owner and due date per open issue</x:v>
      </x:c>
    </x:row>
    <x:row r="11" s="51" customFormat="1" ht="64" customHeight="1">
      <x:c r="A11" s="33" t="n"/>
      <x:c r="B11" s="70" t="str">
        <x:v>Fix one prioritized ad or assistant defect, or record acceptance rechecks</x:v>
      </x:c>
      <x:c r="C11" s="70" t="str">
        <x:v>High</x:v>
      </x:c>
      <x:c r="D11" s="70" t="str">
        <x:v>Not Started</x:v>
      </x:c>
      <x:c r="E11" s="111" t="n">
        <x:v>46323</x:v>
      </x:c>
      <x:c r="F11" s="111" t="n">
        <x:v>46324</x:v>
      </x:c>
      <x:c r="G11" s="112" t="n">
        <x:v>3</x:v>
      </x:c>
      <x:c r="H11" s="111"/>
      <x:c r="I11" s="111"/>
      <x:c r="J11" s="112"/>
      <x:c r="K11" s="70" t="str">
        <x:v>Choose Jira ID first; AD-07/09/11/12; AI-03/04</x:v>
      </x:c>
    </x:row>
    <x:row r="12" s="51" customFormat="1" ht="64" customHeight="1">
      <x:c r="A12" s="33" t="n"/>
      <x:c r="B12" s="75" t="str">
        <x:v>Consolidate evidence and rehearse showcase; prepare report for actual sprint-close update</x:v>
      </x:c>
      <x:c r="C12" s="75" t="str">
        <x:v>Normal</x:v>
      </x:c>
      <x:c r="D12" s="75" t="str">
        <x:v>Not Started</x:v>
      </x:c>
      <x:c r="E12" s="114" t="n">
        <x:v>46325</x:v>
      </x:c>
      <x:c r="F12" s="114" t="n">
        <x:v>46326</x:v>
      </x:c>
      <x:c r="G12" s="113" t="n">
        <x:v>3</x:v>
      </x:c>
      <x:c r="H12" s="114"/>
      <x:c r="I12" s="114"/>
      <x:c r="J12" s="113"/>
      <x:c r="K12" s="75" t="str">
        <x:v>Preparation Oct 30; close Nov 1; do not invent review feedback</x:v>
      </x:c>
    </x:row>
    <x:row r="13" s="51" customFormat="1" ht="25" customHeight="1">
      <x:c r="A13" s="27" t="n"/>
      <x:c r="B13" s="96" t="str">
        <x:v>Planned hours total</x:v>
      </x:c>
      <x:c r="C13" s="96"/>
      <x:c r="D13" s="96"/>
      <x:c r="E13" s="122"/>
      <x:c r="F13" s="122"/>
      <x:c r="G13" s="123" t="n">
        <x:f>SUM(G3:G12)</x:f>
        <x:v>30</x:v>
      </x:c>
      <x:c r="H13" s="122"/>
      <x:c r="I13" s="122"/>
      <x:c r="J13" s="123"/>
      <x:c r="K13" s="99"/>
    </x:row>
    <x:row r="14" s="51" customFormat="1" ht="1" customHeight="1">
      <x:c r="A14" s="32" t="n"/>
      <x:c r="B14" s="33"/>
      <x:c r="C14" s="33"/>
      <x:c r="D14" s="33"/>
      <x:c r="E14" s="116"/>
      <x:c r="F14" s="116"/>
      <x:c r="G14" s="118"/>
      <x:c r="H14" s="116"/>
      <x:c r="I14" s="116"/>
      <x:c r="J14" s="118"/>
      <x:c r="K14" s="36"/>
    </x:row>
    <x:row r="15" s="51" customFormat="1" ht="1" customHeight="1">
      <x:c r="A15" s="37" t="n"/>
      <x:c r="B15" s="38"/>
      <x:c r="C15" s="38"/>
      <x:c r="D15" s="38"/>
      <x:c r="E15" s="38"/>
      <x:c r="F15" s="38"/>
      <x:c r="G15" s="119"/>
      <x:c r="H15" s="38"/>
      <x:c r="I15" s="38"/>
      <x:c r="J15" s="38"/>
      <x:c r="K15" s="41"/>
    </x:row>
    <x:row r="17" ht="24" customHeight="1">
      <x:c r="B17" s="100" t="str">
        <x:v>Sprint 1: Oct 12–Nov 1, 2026. Ten tasks × 3 hours = 30 hours per member. Due dates are the day after the planned start.</x:v>
      </x:c>
      <x:c r="C17" s="100"/>
      <x:c r="D17" s="100"/>
      <x:c r="E17" s="100"/>
      <x:c r="F17" s="100"/>
      <x:c r="G17" s="100"/>
      <x:c r="H17" s="100"/>
      <x:c r="I17" s="100"/>
      <x:c r="J17" s="100"/>
      <x:c r="K17" s="100"/>
    </x:row>
    <x:row r="18" ht="24" customHeight="1">
      <x:c r="B18" s="100" t="str">
        <x:v>Update actual dates, hours and status only after work occurs. Add Jira / evidence links to Notes. Split tasks over 3 hours and replan carryover.</x:v>
      </x:c>
      <x:c r="C18" s="100"/>
      <x:c r="D18" s="100"/>
      <x:c r="E18" s="100"/>
      <x:c r="F18" s="100"/>
      <x:c r="G18" s="100"/>
      <x:c r="H18" s="100"/>
      <x:c r="I18" s="100"/>
      <x:c r="J18" s="100"/>
      <x:c r="K18" s="100"/>
    </x:row>
  </x:sheetData>
  <x:mergeCells>
    <x:mergeCell ref="B1:K1"/>
    <x:mergeCell ref="B17:K17"/>
    <x:mergeCell ref="B18:K18"/>
  </x:mergeCells>
  <x:pageMargins left="0.7" right="0.7" top="0.75" bottom="0.75" header="0.3" footer="0.3"/>
</x:worksheet>
</file>